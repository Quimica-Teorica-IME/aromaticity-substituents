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drawings/drawing2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Doutorado\!Meus Artigos\8 - aromaticity_substituents - comigo\Zenodo\"/>
    </mc:Choice>
  </mc:AlternateContent>
  <xr:revisionPtr revIDLastSave="0" documentId="13_ncr:1_{F326D1BE-63C4-4E83-8DEA-A3E8DC0184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l points" sheetId="3" r:id="rId1"/>
    <sheet name="Bigger value" sheetId="8" r:id="rId2"/>
    <sheet name="Data (1 &amp; -1)" sheetId="13" r:id="rId3"/>
    <sheet name="Francisco et al data" sheetId="11" r:id="rId4"/>
    <sheet name="Eletroneg" sheetId="19" r:id="rId5"/>
    <sheet name="Comparisons (HOMA and AI(vib))" sheetId="17" r:id="rId6"/>
    <sheet name="Comparisons (BVI)" sheetId="18" r:id="rId7"/>
    <sheet name="Comparisons (Iring and MCI)" sheetId="15" r:id="rId8"/>
    <sheet name="Comparisons (NICS)" sheetId="16" r:id="rId9"/>
    <sheet name="Comparisons" sheetId="7" r:id="rId10"/>
    <sheet name="1A" sheetId="5" r:id="rId11"/>
    <sheet name="-1A" sheetId="6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9" l="1"/>
  <c r="X4" i="19"/>
  <c r="X5" i="19"/>
  <c r="X6" i="19"/>
  <c r="X7" i="19"/>
  <c r="X8" i="19"/>
  <c r="X9" i="19"/>
  <c r="X10" i="19"/>
  <c r="X11" i="19"/>
  <c r="X12" i="19"/>
  <c r="X13" i="19"/>
  <c r="X14" i="19"/>
  <c r="X15" i="19"/>
  <c r="X16" i="19"/>
  <c r="X17" i="19"/>
  <c r="X18" i="19"/>
  <c r="W4" i="19"/>
  <c r="W5" i="19"/>
  <c r="W6" i="19"/>
  <c r="W7" i="19"/>
  <c r="W8" i="19"/>
  <c r="W9" i="19"/>
  <c r="W10" i="19"/>
  <c r="W11" i="19"/>
  <c r="W12" i="19"/>
  <c r="W13" i="19"/>
  <c r="W14" i="19"/>
  <c r="W15" i="19"/>
  <c r="W16" i="19"/>
  <c r="W17" i="19"/>
  <c r="W18" i="19"/>
  <c r="W3" i="19"/>
  <c r="Y3" i="19"/>
  <c r="Y4" i="19"/>
  <c r="Y5" i="19"/>
  <c r="Y6" i="19"/>
  <c r="Y7" i="19"/>
  <c r="Y8" i="19"/>
  <c r="Y9" i="19"/>
  <c r="Y10" i="19"/>
  <c r="Y11" i="19"/>
  <c r="Y12" i="19"/>
  <c r="Y13" i="19"/>
  <c r="Y14" i="19"/>
  <c r="Y15" i="19"/>
  <c r="Y16" i="19"/>
  <c r="Y17" i="19"/>
  <c r="Y18" i="19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AQ18" i="11"/>
  <c r="AO18" i="11"/>
  <c r="AM18" i="11"/>
  <c r="AQ17" i="11"/>
  <c r="AO17" i="11"/>
  <c r="AM17" i="11"/>
  <c r="AQ16" i="11"/>
  <c r="AO16" i="11"/>
  <c r="AM16" i="11"/>
  <c r="AQ15" i="11"/>
  <c r="AO15" i="11"/>
  <c r="AM15" i="11"/>
  <c r="AQ14" i="11"/>
  <c r="AO14" i="11"/>
  <c r="AM14" i="11"/>
  <c r="AQ13" i="11"/>
  <c r="AO13" i="11"/>
  <c r="AM13" i="11"/>
  <c r="AQ12" i="11"/>
  <c r="AO12" i="11"/>
  <c r="AM12" i="11"/>
  <c r="AQ11" i="11"/>
  <c r="AO11" i="11"/>
  <c r="AM11" i="11"/>
  <c r="AQ10" i="11"/>
  <c r="AO10" i="11"/>
  <c r="AM10" i="11"/>
  <c r="AQ9" i="11"/>
  <c r="AO9" i="11"/>
  <c r="AM9" i="11"/>
  <c r="AQ8" i="11"/>
  <c r="AO8" i="11"/>
  <c r="AM8" i="11"/>
  <c r="AQ7" i="11"/>
  <c r="AO7" i="11"/>
  <c r="AM7" i="11"/>
  <c r="AQ6" i="11"/>
  <c r="AO6" i="11"/>
  <c r="AM6" i="11"/>
  <c r="AQ5" i="11"/>
  <c r="AO5" i="11"/>
  <c r="AM5" i="11"/>
  <c r="AQ4" i="11"/>
  <c r="AO4" i="11"/>
  <c r="AM4" i="11"/>
  <c r="AQ3" i="11"/>
  <c r="AO3" i="11"/>
  <c r="AM3" i="11"/>
  <c r="M18" i="7"/>
  <c r="K18" i="7"/>
  <c r="I18" i="7"/>
  <c r="M17" i="7"/>
  <c r="K17" i="7"/>
  <c r="I17" i="7"/>
  <c r="M16" i="7"/>
  <c r="K16" i="7"/>
  <c r="I16" i="7"/>
  <c r="M15" i="7"/>
  <c r="K15" i="7"/>
  <c r="I15" i="7"/>
  <c r="M14" i="7"/>
  <c r="K14" i="7"/>
  <c r="I14" i="7"/>
  <c r="M13" i="7"/>
  <c r="K13" i="7"/>
  <c r="I13" i="7"/>
  <c r="M12" i="7"/>
  <c r="K12" i="7"/>
  <c r="I12" i="7"/>
  <c r="M11" i="7"/>
  <c r="K11" i="7"/>
  <c r="I11" i="7"/>
  <c r="M10" i="7"/>
  <c r="K10" i="7"/>
  <c r="I10" i="7"/>
  <c r="M9" i="7"/>
  <c r="K9" i="7"/>
  <c r="I9" i="7"/>
  <c r="M8" i="7"/>
  <c r="K8" i="7"/>
  <c r="I8" i="7"/>
  <c r="M7" i="7"/>
  <c r="K7" i="7"/>
  <c r="I7" i="7"/>
  <c r="M6" i="7"/>
  <c r="K6" i="7"/>
  <c r="I6" i="7"/>
  <c r="M5" i="7"/>
  <c r="K5" i="7"/>
  <c r="I5" i="7"/>
  <c r="M4" i="7"/>
  <c r="K4" i="7"/>
  <c r="I4" i="7"/>
  <c r="M3" i="7"/>
  <c r="K3" i="7"/>
  <c r="I3" i="7"/>
  <c r="B3" i="8"/>
  <c r="B4" i="8"/>
  <c r="B5" i="8"/>
  <c r="B6" i="8"/>
  <c r="B7" i="8"/>
  <c r="B8" i="8"/>
  <c r="B9" i="8"/>
  <c r="T5" i="11"/>
  <c r="T8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T4" i="11"/>
  <c r="T6" i="11"/>
  <c r="T7" i="11"/>
  <c r="T9" i="11"/>
  <c r="T10" i="11"/>
  <c r="T11" i="11"/>
  <c r="T12" i="11"/>
  <c r="T13" i="11"/>
  <c r="T14" i="11"/>
  <c r="T15" i="11"/>
  <c r="T16" i="11"/>
  <c r="T17" i="11"/>
  <c r="T18" i="11"/>
  <c r="T3" i="11"/>
  <c r="B18" i="8"/>
  <c r="B17" i="8"/>
  <c r="B16" i="8"/>
  <c r="B15" i="8"/>
  <c r="B14" i="8"/>
  <c r="B13" i="8"/>
  <c r="B12" i="8"/>
  <c r="B11" i="8"/>
  <c r="B10" i="8"/>
  <c r="N29" i="19" l="1"/>
  <c r="L33" i="19"/>
  <c r="M29" i="19"/>
  <c r="L34" i="19"/>
  <c r="L35" i="19"/>
  <c r="L36" i="19"/>
  <c r="N36" i="19"/>
  <c r="N34" i="19"/>
  <c r="N32" i="19"/>
  <c r="N30" i="19"/>
  <c r="L29" i="19"/>
  <c r="L37" i="19"/>
  <c r="M36" i="19"/>
  <c r="M34" i="19"/>
  <c r="M32" i="19"/>
  <c r="M30" i="19"/>
  <c r="L30" i="19"/>
  <c r="L31" i="19"/>
  <c r="L32" i="19"/>
  <c r="N37" i="19"/>
  <c r="N35" i="19"/>
  <c r="N33" i="19"/>
  <c r="N31" i="19"/>
  <c r="M37" i="19"/>
  <c r="M35" i="19"/>
  <c r="M33" i="19"/>
  <c r="M31" i="19"/>
  <c r="Z15" i="19"/>
  <c r="N23" i="19"/>
  <c r="M23" i="19"/>
  <c r="N28" i="19"/>
  <c r="L28" i="19"/>
  <c r="N24" i="19"/>
  <c r="Z12" i="19"/>
  <c r="AA12" i="19" s="1"/>
  <c r="Z4" i="19"/>
  <c r="AA4" i="19" s="1"/>
  <c r="L23" i="19"/>
  <c r="L24" i="19"/>
  <c r="M28" i="19"/>
  <c r="M26" i="19"/>
  <c r="M24" i="19"/>
  <c r="N26" i="19"/>
  <c r="L25" i="19"/>
  <c r="Z16" i="19"/>
  <c r="AA16" i="19" s="1"/>
  <c r="L26" i="19"/>
  <c r="L27" i="19"/>
  <c r="N27" i="19"/>
  <c r="N25" i="19"/>
  <c r="M27" i="19"/>
  <c r="M25" i="19"/>
  <c r="Z10" i="19"/>
  <c r="AA10" i="19" s="1"/>
  <c r="Z18" i="19"/>
  <c r="AA18" i="19" s="1"/>
  <c r="Z13" i="19"/>
  <c r="AA13" i="19" s="1"/>
  <c r="Z5" i="19"/>
  <c r="AA5" i="19" s="1"/>
  <c r="Z17" i="19"/>
  <c r="AA17" i="19" s="1"/>
  <c r="Z9" i="19"/>
  <c r="AA9" i="19" s="1"/>
  <c r="Z7" i="19"/>
  <c r="AA7" i="19" s="1"/>
  <c r="Z6" i="19"/>
  <c r="AA6" i="19" s="1"/>
  <c r="Z14" i="19"/>
  <c r="AA14" i="19" s="1"/>
  <c r="Z11" i="19"/>
  <c r="AA11" i="19" s="1"/>
  <c r="Z3" i="19"/>
  <c r="AA15" i="19"/>
  <c r="Z8" i="19"/>
  <c r="AA8" i="19" s="1"/>
  <c r="O29" i="19" l="1"/>
  <c r="O31" i="19"/>
  <c r="O33" i="19"/>
  <c r="O35" i="19"/>
  <c r="O37" i="19"/>
  <c r="O30" i="19"/>
  <c r="O32" i="19"/>
  <c r="O34" i="19"/>
  <c r="O36" i="19"/>
  <c r="AA3" i="19"/>
  <c r="O23" i="19"/>
  <c r="O25" i="19"/>
  <c r="O27" i="19"/>
  <c r="O24" i="19"/>
  <c r="O26" i="19"/>
  <c r="O28" i="19"/>
  <c r="P29" i="19" l="1"/>
  <c r="P31" i="19"/>
  <c r="P33" i="19"/>
  <c r="P35" i="19"/>
  <c r="P37" i="19"/>
  <c r="P30" i="19"/>
  <c r="P32" i="19"/>
  <c r="P34" i="19"/>
  <c r="P36" i="19"/>
  <c r="P24" i="19"/>
  <c r="P26" i="19"/>
  <c r="P28" i="19"/>
  <c r="P23" i="19"/>
  <c r="P25" i="19"/>
  <c r="P27" i="19"/>
</calcChain>
</file>

<file path=xl/sharedStrings.xml><?xml version="1.0" encoding="utf-8"?>
<sst xmlns="http://schemas.openxmlformats.org/spreadsheetml/2006/main" count="679" uniqueCount="111">
  <si>
    <t>Molecule</t>
  </si>
  <si>
    <t>Total |Q2| (ring atoms)</t>
  </si>
  <si>
    <t>Total Qzz (ring atoms)</t>
  </si>
  <si>
    <t>|Q2| origin</t>
  </si>
  <si>
    <t>Qzz origin</t>
  </si>
  <si>
    <t>|Q2|(2)</t>
  </si>
  <si>
    <t>Q2(2)zz</t>
  </si>
  <si>
    <t>|Q2|(1)</t>
  </si>
  <si>
    <t>Q2(1)zz</t>
  </si>
  <si>
    <t>|Q2|(ao)</t>
  </si>
  <si>
    <t>Q2(ao)zz</t>
  </si>
  <si>
    <t>|Q2|(0)</t>
  </si>
  <si>
    <t>Q2(0)zz</t>
  </si>
  <si>
    <t>|Q2|(-a0)</t>
  </si>
  <si>
    <t>Q2(-a0)zz</t>
  </si>
  <si>
    <t>|Q2|(-1)</t>
  </si>
  <si>
    <t>Q2(-1)zz</t>
  </si>
  <si>
    <t>|Q2|(-2)</t>
  </si>
  <si>
    <t>Q2(-2)zz</t>
  </si>
  <si>
    <t>C6H4O2</t>
  </si>
  <si>
    <t>C6H5CH2+</t>
  </si>
  <si>
    <t>C6H5CH2-</t>
  </si>
  <si>
    <t>C6H5CH3</t>
  </si>
  <si>
    <t>C6H5NH+</t>
  </si>
  <si>
    <t>C6H5NH-</t>
  </si>
  <si>
    <t>C6H5NH2</t>
  </si>
  <si>
    <t>C6H5O+</t>
  </si>
  <si>
    <t>C6H5O-</t>
  </si>
  <si>
    <t>C6H5OH</t>
  </si>
  <si>
    <t>C6H6</t>
  </si>
  <si>
    <t>Absolut Data</t>
  </si>
  <si>
    <t>Normalized Data (%)</t>
  </si>
  <si>
    <t>C6H4(CH2)2</t>
  </si>
  <si>
    <t>C6H4(CH3)2</t>
  </si>
  <si>
    <t>C6H4(NH)2</t>
  </si>
  <si>
    <t>C6H4(NH2)2</t>
  </si>
  <si>
    <t>C6H4(OH)2</t>
  </si>
  <si>
    <t>The bigger |Q2| value is verified for distances: 2, 1, a0, 0, -a0, -1, and -2 Angstroms</t>
  </si>
  <si>
    <t>The negative distances were also evaluated because some molecules are assymmetric in the xy plane</t>
  </si>
  <si>
    <t>X</t>
  </si>
  <si>
    <t>HOMA</t>
  </si>
  <si>
    <t>EN</t>
  </si>
  <si>
    <t>GEO</t>
  </si>
  <si>
    <t>H</t>
  </si>
  <si>
    <t>CH3</t>
  </si>
  <si>
    <t>NH2</t>
  </si>
  <si>
    <t>OH</t>
  </si>
  <si>
    <t>O−</t>
  </si>
  <si>
    <t>O+</t>
  </si>
  <si>
    <t>AI(vib)</t>
  </si>
  <si>
    <t>WS</t>
  </si>
  <si>
    <t>ALT</t>
  </si>
  <si>
    <t>NICS(0)</t>
  </si>
  <si>
    <t>(CH3)2</t>
  </si>
  <si>
    <t>(CH2)2</t>
  </si>
  <si>
    <t>(NH2)2</t>
  </si>
  <si>
    <t>(NH)2</t>
  </si>
  <si>
    <t>(OH)2</t>
  </si>
  <si>
    <t>O2</t>
  </si>
  <si>
    <t>Values</t>
  </si>
  <si>
    <t>Bigger Value</t>
  </si>
  <si>
    <t>Substituent</t>
  </si>
  <si>
    <t>For all molecules, the 1A and -1A correspond to the biggest |Q2|.</t>
  </si>
  <si>
    <r>
      <t>CH</t>
    </r>
    <r>
      <rPr>
        <vertAlign val="superscript"/>
        <sz val="14"/>
        <color theme="1"/>
        <rFont val="Calibri"/>
        <family val="2"/>
        <scheme val="minor"/>
      </rPr>
      <t>-</t>
    </r>
    <r>
      <rPr>
        <vertAlign val="subscript"/>
        <sz val="11"/>
        <color theme="1"/>
        <rFont val="Calibri"/>
        <family val="2"/>
        <scheme val="minor"/>
      </rPr>
      <t>2</t>
    </r>
  </si>
  <si>
    <r>
      <t>CH</t>
    </r>
    <r>
      <rPr>
        <vertAlign val="superscript"/>
        <sz val="12"/>
        <color theme="1"/>
        <rFont val="Calibri"/>
        <family val="2"/>
        <scheme val="minor"/>
      </rPr>
      <t>+</t>
    </r>
    <r>
      <rPr>
        <vertAlign val="subscript"/>
        <sz val="11"/>
        <color theme="1"/>
        <rFont val="Calibri"/>
        <family val="2"/>
        <scheme val="minor"/>
      </rPr>
      <t>2</t>
    </r>
  </si>
  <si>
    <t>disub.</t>
  </si>
  <si>
    <t>monosubsti.</t>
  </si>
  <si>
    <r>
      <t xml:space="preserve">Francisco </t>
    </r>
    <r>
      <rPr>
        <b/>
        <i/>
        <sz val="11"/>
        <color theme="0"/>
        <rFont val="Calibri"/>
        <family val="2"/>
        <scheme val="minor"/>
      </rPr>
      <t>et al.</t>
    </r>
  </si>
  <si>
    <t>BVmax</t>
  </si>
  <si>
    <t>BVmin</t>
  </si>
  <si>
    <t>ΔBV</t>
  </si>
  <si>
    <t>BVI</t>
  </si>
  <si>
    <t>Iring</t>
  </si>
  <si>
    <t>MCI</t>
  </si>
  <si>
    <t>C6H4-CH2-2</t>
  </si>
  <si>
    <t>C6H4-CH3-2</t>
  </si>
  <si>
    <t>C6H4-NH-2</t>
  </si>
  <si>
    <t>C6H4-NH2-2</t>
  </si>
  <si>
    <t>C6H4-OH-2</t>
  </si>
  <si>
    <t>Normalized</t>
  </si>
  <si>
    <t>GDMA2 Normalized</t>
  </si>
  <si>
    <t>NICS(1)zz normalized</t>
  </si>
  <si>
    <t>NICS(1) normalized</t>
  </si>
  <si>
    <t>NICS(0) normalized</t>
  </si>
  <si>
    <r>
      <t>NH</t>
    </r>
    <r>
      <rPr>
        <vertAlign val="superscript"/>
        <sz val="14"/>
        <color theme="1"/>
        <rFont val="Calibri"/>
        <family val="2"/>
        <scheme val="minor"/>
      </rPr>
      <t>-</t>
    </r>
  </si>
  <si>
    <r>
      <t>NH</t>
    </r>
    <r>
      <rPr>
        <vertAlign val="superscript"/>
        <sz val="12"/>
        <color theme="1"/>
        <rFont val="Calibri"/>
        <family val="2"/>
        <scheme val="minor"/>
      </rPr>
      <t>+</t>
    </r>
  </si>
  <si>
    <t>But when -1A correspond to the bigger valus, it is 0.003 to 0.001 units bigger than 1A value</t>
  </si>
  <si>
    <t>Therefore, calculations will be performed with 1A and -1A together, but only 1A will be considered</t>
  </si>
  <si>
    <t xml:space="preserve">NICS(1) </t>
  </si>
  <si>
    <t xml:space="preserve">NICS(1)zz </t>
  </si>
  <si>
    <t>Iring Norm</t>
  </si>
  <si>
    <t>MCI Norm</t>
  </si>
  <si>
    <t>CH-2</t>
  </si>
  <si>
    <t>CH+2</t>
  </si>
  <si>
    <t>NH-</t>
  </si>
  <si>
    <t>NH+</t>
  </si>
  <si>
    <t>HOMO</t>
  </si>
  <si>
    <t>LUMO</t>
  </si>
  <si>
    <t>χ</t>
  </si>
  <si>
    <t>ω</t>
  </si>
  <si>
    <t>IP</t>
  </si>
  <si>
    <t>EA</t>
  </si>
  <si>
    <t>η</t>
  </si>
  <si>
    <t>Ionic Potential</t>
  </si>
  <si>
    <t>Electron Affinity</t>
  </si>
  <si>
    <t>Electronegativity</t>
  </si>
  <si>
    <t>Hardness</t>
  </si>
  <si>
    <t>Electrophilicity</t>
  </si>
  <si>
    <t>|Q2| (ring atoms)</t>
  </si>
  <si>
    <t xml:space="preserve"> Q2zz (ring atoms)</t>
  </si>
  <si>
    <t>Q2zz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</si>
</sst>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12"/>
      <name val="Consolas"/>
      <family val="3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vertAlign val="superscript"/>
      <sz val="14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6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0"/>
      <name val="Times New Roman"/>
      <family val="1"/>
    </font>
    <font>
      <b/>
      <i/>
      <sz val="16"/>
      <color theme="0"/>
      <name val="Times New Roman"/>
      <family val="1"/>
    </font>
    <font>
      <b/>
      <sz val="16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-0.249977111117893"/>
        <bgColor theme="6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2" fontId="0" fillId="0" borderId="0" xfId="0" applyNumberFormat="1"/>
    <xf numFmtId="0" fontId="2" fillId="0" borderId="0" xfId="0" applyFont="1"/>
    <xf numFmtId="0" fontId="1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top"/>
    </xf>
    <xf numFmtId="0" fontId="14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64" fontId="14" fillId="3" borderId="3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7" fillId="8" borderId="0" xfId="0" applyFont="1" applyFill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6" borderId="4" xfId="0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164" fontId="17" fillId="0" borderId="3" xfId="0" applyNumberFormat="1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textRotation="255"/>
    </xf>
    <xf numFmtId="0" fontId="7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372"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/>
        </right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/>
        </right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/>
        </right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/>
        </right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/>
        </right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/>
        </right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/>
        </right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/>
        </right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/>
        </right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/>
        </right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/>
        </right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2" defaultTableStyle="TableStyleMedium2" defaultPivotStyle="PivotStyleLight16">
    <tableStyle name="Estilo de Tabela 1" pivot="0" count="0" xr9:uid="{045276EB-2DC0-4FA4-947A-45F0564992B3}"/>
    <tableStyle name="Estilo de Tabela 2" pivot="0" count="0" xr9:uid="{887A0968-8AEB-4E1F-81B1-2C324F58C0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53760299073155E-2"/>
          <c:y val="0.15868256909062839"/>
          <c:w val="0.90922680414907353"/>
          <c:h val="0.63171276690183809"/>
        </c:manualLayout>
      </c:layout>
      <c:lineChart>
        <c:grouping val="standard"/>
        <c:varyColors val="0"/>
        <c:ser>
          <c:idx val="0"/>
          <c:order val="0"/>
          <c:tx>
            <c:strRef>
              <c:f>'Comparisons (HOMA and AI(vib))'!$C$2</c:f>
              <c:strCache>
                <c:ptCount val="1"/>
                <c:pt idx="0">
                  <c:v>HOMA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88900" cap="sq">
                <a:solidFill>
                  <a:schemeClr val="accent1"/>
                </a:solidFill>
                <a:miter lim="800000"/>
              </a:ln>
              <a:effectLst/>
            </c:spPr>
          </c:marker>
          <c:cat>
            <c:strRef>
              <c:f>'Comparisons (HOMA and AI(vib))'!$B$3:$B$18</c:f>
              <c:strCache>
                <c:ptCount val="16"/>
                <c:pt idx="0">
                  <c:v>H</c:v>
                </c:pt>
                <c:pt idx="1">
                  <c:v>CH3</c:v>
                </c:pt>
                <c:pt idx="2">
                  <c:v>CH-2</c:v>
                </c:pt>
                <c:pt idx="3">
                  <c:v>CH+2</c:v>
                </c:pt>
                <c:pt idx="4">
                  <c:v>NH2</c:v>
                </c:pt>
                <c:pt idx="5">
                  <c:v>NH-</c:v>
                </c:pt>
                <c:pt idx="6">
                  <c:v>NH+</c:v>
                </c:pt>
                <c:pt idx="7">
                  <c:v>OH</c:v>
                </c:pt>
                <c:pt idx="8">
                  <c:v>O−</c:v>
                </c:pt>
                <c:pt idx="9">
                  <c:v>O+</c:v>
                </c:pt>
                <c:pt idx="10">
                  <c:v>(CH3)2</c:v>
                </c:pt>
                <c:pt idx="11">
                  <c:v>(CH2)2</c:v>
                </c:pt>
                <c:pt idx="12">
                  <c:v>(NH2)2</c:v>
                </c:pt>
                <c:pt idx="13">
                  <c:v>(NH)2</c:v>
                </c:pt>
                <c:pt idx="14">
                  <c:v>(OH)2</c:v>
                </c:pt>
                <c:pt idx="15">
                  <c:v>O2</c:v>
                </c:pt>
              </c:strCache>
            </c:strRef>
          </c:cat>
          <c:val>
            <c:numRef>
              <c:f>'Comparisons (HOMA and AI(vib))'!$C$3:$C$18</c:f>
              <c:numCache>
                <c:formatCode>0.000</c:formatCode>
                <c:ptCount val="16"/>
                <c:pt idx="0">
                  <c:v>0.998</c:v>
                </c:pt>
                <c:pt idx="1">
                  <c:v>0.997</c:v>
                </c:pt>
                <c:pt idx="2">
                  <c:v>0.70199999999999996</c:v>
                </c:pt>
                <c:pt idx="3">
                  <c:v>0.74299999999999999</c:v>
                </c:pt>
                <c:pt idx="4">
                  <c:v>0.99199999999999999</c:v>
                </c:pt>
                <c:pt idx="5">
                  <c:v>0.72399999999999998</c:v>
                </c:pt>
                <c:pt idx="6">
                  <c:v>0.44800000000000001</c:v>
                </c:pt>
                <c:pt idx="7">
                  <c:v>0.997</c:v>
                </c:pt>
                <c:pt idx="8">
                  <c:v>0.73599999999999999</c:v>
                </c:pt>
                <c:pt idx="9">
                  <c:v>-0.1</c:v>
                </c:pt>
                <c:pt idx="10">
                  <c:v>0.997</c:v>
                </c:pt>
                <c:pt idx="11">
                  <c:v>6.0000000000000001E-3</c:v>
                </c:pt>
                <c:pt idx="12">
                  <c:v>0.995</c:v>
                </c:pt>
                <c:pt idx="13">
                  <c:v>-0.309</c:v>
                </c:pt>
                <c:pt idx="14">
                  <c:v>0.997</c:v>
                </c:pt>
                <c:pt idx="15">
                  <c:v>-0.80800000000000005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4D-45B4-9028-0EEDE62A35CD}"/>
            </c:ext>
          </c:extLst>
        </c:ser>
        <c:ser>
          <c:idx val="1"/>
          <c:order val="1"/>
          <c:tx>
            <c:strRef>
              <c:f>'Comparisons (HOMA and AI(vib))'!$D$2</c:f>
              <c:strCache>
                <c:ptCount val="1"/>
                <c:pt idx="0">
                  <c:v>AI(vib)</c:v>
                </c:pt>
              </c:strCache>
            </c:strRef>
          </c:tx>
          <c:spPr>
            <a:ln w="158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88900">
                <a:solidFill>
                  <a:schemeClr val="accent2"/>
                </a:solidFill>
              </a:ln>
              <a:effectLst/>
            </c:spPr>
          </c:marker>
          <c:cat>
            <c:strRef>
              <c:f>'Comparisons (HOMA and AI(vib))'!$B$3:$B$18</c:f>
              <c:strCache>
                <c:ptCount val="16"/>
                <c:pt idx="0">
                  <c:v>H</c:v>
                </c:pt>
                <c:pt idx="1">
                  <c:v>CH3</c:v>
                </c:pt>
                <c:pt idx="2">
                  <c:v>CH-2</c:v>
                </c:pt>
                <c:pt idx="3">
                  <c:v>CH+2</c:v>
                </c:pt>
                <c:pt idx="4">
                  <c:v>NH2</c:v>
                </c:pt>
                <c:pt idx="5">
                  <c:v>NH-</c:v>
                </c:pt>
                <c:pt idx="6">
                  <c:v>NH+</c:v>
                </c:pt>
                <c:pt idx="7">
                  <c:v>OH</c:v>
                </c:pt>
                <c:pt idx="8">
                  <c:v>O−</c:v>
                </c:pt>
                <c:pt idx="9">
                  <c:v>O+</c:v>
                </c:pt>
                <c:pt idx="10">
                  <c:v>(CH3)2</c:v>
                </c:pt>
                <c:pt idx="11">
                  <c:v>(CH2)2</c:v>
                </c:pt>
                <c:pt idx="12">
                  <c:v>(NH2)2</c:v>
                </c:pt>
                <c:pt idx="13">
                  <c:v>(NH)2</c:v>
                </c:pt>
                <c:pt idx="14">
                  <c:v>(OH)2</c:v>
                </c:pt>
                <c:pt idx="15">
                  <c:v>O2</c:v>
                </c:pt>
              </c:strCache>
            </c:strRef>
          </c:cat>
          <c:val>
            <c:numRef>
              <c:f>'Comparisons (HOMA and AI(vib))'!$D$3:$D$18</c:f>
              <c:numCache>
                <c:formatCode>0.000</c:formatCode>
                <c:ptCount val="16"/>
                <c:pt idx="0">
                  <c:v>0.92500000000000004</c:v>
                </c:pt>
                <c:pt idx="1">
                  <c:v>0.90700000000000003</c:v>
                </c:pt>
                <c:pt idx="2">
                  <c:v>0.58699999999999997</c:v>
                </c:pt>
                <c:pt idx="3">
                  <c:v>0.70899999999999996</c:v>
                </c:pt>
                <c:pt idx="4">
                  <c:v>0.89500000000000002</c:v>
                </c:pt>
                <c:pt idx="5">
                  <c:v>0.59299999999999997</c:v>
                </c:pt>
                <c:pt idx="6">
                  <c:v>0.437</c:v>
                </c:pt>
                <c:pt idx="7">
                  <c:v>0.91700000000000004</c:v>
                </c:pt>
                <c:pt idx="8">
                  <c:v>0.53700000000000003</c:v>
                </c:pt>
                <c:pt idx="9">
                  <c:v>-7.5999999999999998E-2</c:v>
                </c:pt>
                <c:pt idx="10">
                  <c:v>0.89</c:v>
                </c:pt>
                <c:pt idx="11">
                  <c:v>8.5000000000000006E-2</c:v>
                </c:pt>
                <c:pt idx="12">
                  <c:v>0.871</c:v>
                </c:pt>
                <c:pt idx="13">
                  <c:v>-0.2</c:v>
                </c:pt>
                <c:pt idx="14">
                  <c:v>0.91</c:v>
                </c:pt>
                <c:pt idx="15">
                  <c:v>-0.68400000000000005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4D-45B4-9028-0EEDE62A35CD}"/>
            </c:ext>
          </c:extLst>
        </c:ser>
        <c:ser>
          <c:idx val="2"/>
          <c:order val="2"/>
          <c:tx>
            <c:strRef>
              <c:f>'Comparisons (HOMA and AI(vib))'!$G$2</c:f>
              <c:strCache>
                <c:ptCount val="1"/>
                <c:pt idx="0">
                  <c:v>Q2(1)zz</c:v>
                </c:pt>
              </c:strCache>
            </c:strRef>
          </c:tx>
          <c:spPr>
            <a:ln w="15875" cap="rnd">
              <a:solidFill>
                <a:srgbClr val="EE0000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EE0000"/>
              </a:solidFill>
              <a:ln w="88900" cap="sq">
                <a:solidFill>
                  <a:srgbClr val="EE0000"/>
                </a:solidFill>
                <a:miter lim="800000"/>
              </a:ln>
              <a:effectLst/>
            </c:spPr>
          </c:marker>
          <c:cat>
            <c:strRef>
              <c:f>'Comparisons (HOMA and AI(vib))'!$B$3:$B$18</c:f>
              <c:strCache>
                <c:ptCount val="16"/>
                <c:pt idx="0">
                  <c:v>H</c:v>
                </c:pt>
                <c:pt idx="1">
                  <c:v>CH3</c:v>
                </c:pt>
                <c:pt idx="2">
                  <c:v>CH-2</c:v>
                </c:pt>
                <c:pt idx="3">
                  <c:v>CH+2</c:v>
                </c:pt>
                <c:pt idx="4">
                  <c:v>NH2</c:v>
                </c:pt>
                <c:pt idx="5">
                  <c:v>NH-</c:v>
                </c:pt>
                <c:pt idx="6">
                  <c:v>NH+</c:v>
                </c:pt>
                <c:pt idx="7">
                  <c:v>OH</c:v>
                </c:pt>
                <c:pt idx="8">
                  <c:v>O−</c:v>
                </c:pt>
                <c:pt idx="9">
                  <c:v>O+</c:v>
                </c:pt>
                <c:pt idx="10">
                  <c:v>(CH3)2</c:v>
                </c:pt>
                <c:pt idx="11">
                  <c:v>(CH2)2</c:v>
                </c:pt>
                <c:pt idx="12">
                  <c:v>(NH2)2</c:v>
                </c:pt>
                <c:pt idx="13">
                  <c:v>(NH)2</c:v>
                </c:pt>
                <c:pt idx="14">
                  <c:v>(OH)2</c:v>
                </c:pt>
                <c:pt idx="15">
                  <c:v>O2</c:v>
                </c:pt>
              </c:strCache>
            </c:strRef>
          </c:cat>
          <c:val>
            <c:numRef>
              <c:f>'Comparisons (HOMA and AI(vib))'!$G$3:$G$18</c:f>
              <c:numCache>
                <c:formatCode>0.00</c:formatCode>
                <c:ptCount val="16"/>
                <c:pt idx="0">
                  <c:v>1</c:v>
                </c:pt>
                <c:pt idx="1">
                  <c:v>0.96263233224350897</c:v>
                </c:pt>
                <c:pt idx="2">
                  <c:v>1.01810616753118</c:v>
                </c:pt>
                <c:pt idx="3">
                  <c:v>0.87368561054965599</c:v>
                </c:pt>
                <c:pt idx="4">
                  <c:v>0.95540852524362196</c:v>
                </c:pt>
                <c:pt idx="5">
                  <c:v>0.99091614706471998</c:v>
                </c:pt>
                <c:pt idx="6">
                  <c:v>0.82168968399070097</c:v>
                </c:pt>
                <c:pt idx="7">
                  <c:v>0.95398123279159708</c:v>
                </c:pt>
                <c:pt idx="8">
                  <c:v>0.96793455496862502</c:v>
                </c:pt>
                <c:pt idx="9">
                  <c:v>0.76788333918940099</c:v>
                </c:pt>
                <c:pt idx="10">
                  <c:v>0.93707010010898206</c:v>
                </c:pt>
                <c:pt idx="11">
                  <c:v>0.8756032246089831</c:v>
                </c:pt>
                <c:pt idx="12">
                  <c:v>0.947533602910962</c:v>
                </c:pt>
                <c:pt idx="13">
                  <c:v>0.83623059805340305</c:v>
                </c:pt>
                <c:pt idx="14">
                  <c:v>0.94043088748210901</c:v>
                </c:pt>
                <c:pt idx="15">
                  <c:v>0.79798948289928906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4D-45B4-9028-0EEDE62A35CD}"/>
            </c:ext>
          </c:extLst>
        </c:ser>
        <c:ser>
          <c:idx val="3"/>
          <c:order val="3"/>
          <c:tx>
            <c:strRef>
              <c:f>'Comparisons (HOMA and AI(vib))'!$F$2</c:f>
              <c:strCache>
                <c:ptCount val="1"/>
                <c:pt idx="0">
                  <c:v>Total Qzz (ring atoms)</c:v>
                </c:pt>
              </c:strCache>
            </c:strRef>
          </c:tx>
          <c:spPr>
            <a:ln w="15875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chemeClr val="accent6"/>
              </a:solidFill>
              <a:ln w="88900" cap="sq">
                <a:solidFill>
                  <a:schemeClr val="accent6"/>
                </a:solidFill>
                <a:prstDash val="lgDash"/>
                <a:miter lim="800000"/>
              </a:ln>
              <a:effectLst/>
            </c:spPr>
          </c:marker>
          <c:cat>
            <c:strRef>
              <c:f>'Comparisons (HOMA and AI(vib))'!$B$3:$B$18</c:f>
              <c:strCache>
                <c:ptCount val="16"/>
                <c:pt idx="0">
                  <c:v>H</c:v>
                </c:pt>
                <c:pt idx="1">
                  <c:v>CH3</c:v>
                </c:pt>
                <c:pt idx="2">
                  <c:v>CH-2</c:v>
                </c:pt>
                <c:pt idx="3">
                  <c:v>CH+2</c:v>
                </c:pt>
                <c:pt idx="4">
                  <c:v>NH2</c:v>
                </c:pt>
                <c:pt idx="5">
                  <c:v>NH-</c:v>
                </c:pt>
                <c:pt idx="6">
                  <c:v>NH+</c:v>
                </c:pt>
                <c:pt idx="7">
                  <c:v>OH</c:v>
                </c:pt>
                <c:pt idx="8">
                  <c:v>O−</c:v>
                </c:pt>
                <c:pt idx="9">
                  <c:v>O+</c:v>
                </c:pt>
                <c:pt idx="10">
                  <c:v>(CH3)2</c:v>
                </c:pt>
                <c:pt idx="11">
                  <c:v>(CH2)2</c:v>
                </c:pt>
                <c:pt idx="12">
                  <c:v>(NH2)2</c:v>
                </c:pt>
                <c:pt idx="13">
                  <c:v>(NH)2</c:v>
                </c:pt>
                <c:pt idx="14">
                  <c:v>(OH)2</c:v>
                </c:pt>
                <c:pt idx="15">
                  <c:v>O2</c:v>
                </c:pt>
              </c:strCache>
            </c:strRef>
          </c:cat>
          <c:val>
            <c:numRef>
              <c:f>'Comparisons (HOMA and AI(vib))'!$F$3:$F$18</c:f>
              <c:numCache>
                <c:formatCode>0.00</c:formatCode>
                <c:ptCount val="16"/>
                <c:pt idx="0">
                  <c:v>1</c:v>
                </c:pt>
                <c:pt idx="1">
                  <c:v>0.9460714636171601</c:v>
                </c:pt>
                <c:pt idx="2">
                  <c:v>1.3348602478680101</c:v>
                </c:pt>
                <c:pt idx="3">
                  <c:v>0.70289724501196704</c:v>
                </c:pt>
                <c:pt idx="4">
                  <c:v>1.0128949438805099</c:v>
                </c:pt>
                <c:pt idx="5">
                  <c:v>1.28279011902186</c:v>
                </c:pt>
                <c:pt idx="6">
                  <c:v>0.62660383410965403</c:v>
                </c:pt>
                <c:pt idx="7">
                  <c:v>0.98369869294585499</c:v>
                </c:pt>
                <c:pt idx="8">
                  <c:v>1.2338147537531099</c:v>
                </c:pt>
                <c:pt idx="9">
                  <c:v>0.55936173155264302</c:v>
                </c:pt>
                <c:pt idx="10">
                  <c:v>1.01844577794024</c:v>
                </c:pt>
                <c:pt idx="11">
                  <c:v>1.0828126138730101</c:v>
                </c:pt>
                <c:pt idx="12">
                  <c:v>1.0808896484089099</c:v>
                </c:pt>
                <c:pt idx="13">
                  <c:v>0.92262230284152391</c:v>
                </c:pt>
                <c:pt idx="14">
                  <c:v>1.0254662373516599</c:v>
                </c:pt>
                <c:pt idx="15">
                  <c:v>0.78717977116079696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944D-45B4-9028-0EEDE62A3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8081376"/>
        <c:axId val="718082456"/>
        <c:extLst/>
      </c:lineChart>
      <c:catAx>
        <c:axId val="71808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8082456"/>
        <c:crossesAt val="-1"/>
        <c:auto val="1"/>
        <c:lblAlgn val="ctr"/>
        <c:lblOffset val="100"/>
        <c:noMultiLvlLbl val="0"/>
      </c:catAx>
      <c:valAx>
        <c:axId val="718082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8081376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"/>
          <c:y val="1.4473058514744478E-2"/>
          <c:w val="0.99915359166152995"/>
          <c:h val="0.137447120580515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txPr>
    <a:bodyPr/>
    <a:lstStyle/>
    <a:p>
      <a:pPr>
        <a:defRPr sz="28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59479249592339E-2"/>
          <c:y val="0.10171909011995946"/>
          <c:w val="0.9006713735271602"/>
          <c:h val="0.66931614265969819"/>
        </c:manualLayout>
      </c:layout>
      <c:lineChart>
        <c:grouping val="standard"/>
        <c:varyColors val="0"/>
        <c:ser>
          <c:idx val="0"/>
          <c:order val="0"/>
          <c:tx>
            <c:strRef>
              <c:f>'Comparisons (BVI)'!$C$2</c:f>
              <c:strCache>
                <c:ptCount val="1"/>
                <c:pt idx="0">
                  <c:v>BVI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88900" cap="sq">
                <a:solidFill>
                  <a:schemeClr val="accent1"/>
                </a:solidFill>
                <a:miter lim="800000"/>
              </a:ln>
              <a:effectLst/>
            </c:spPr>
          </c:marker>
          <c:cat>
            <c:strRef>
              <c:f>'Comparisons (BVI)'!$B$2:$B$18</c:f>
              <c:strCache>
                <c:ptCount val="17"/>
                <c:pt idx="0">
                  <c:v>X</c:v>
                </c:pt>
                <c:pt idx="1">
                  <c:v>H</c:v>
                </c:pt>
                <c:pt idx="2">
                  <c:v>CH3</c:v>
                </c:pt>
                <c:pt idx="3">
                  <c:v>CH-2</c:v>
                </c:pt>
                <c:pt idx="4">
                  <c:v>CH+2</c:v>
                </c:pt>
                <c:pt idx="5">
                  <c:v>NH2</c:v>
                </c:pt>
                <c:pt idx="6">
                  <c:v>NH-</c:v>
                </c:pt>
                <c:pt idx="7">
                  <c:v>NH+</c:v>
                </c:pt>
                <c:pt idx="8">
                  <c:v>OH</c:v>
                </c:pt>
                <c:pt idx="9">
                  <c:v>O−</c:v>
                </c:pt>
                <c:pt idx="10">
                  <c:v>O+</c:v>
                </c:pt>
                <c:pt idx="11">
                  <c:v>(CH3)2</c:v>
                </c:pt>
                <c:pt idx="12">
                  <c:v>(CH2)2</c:v>
                </c:pt>
                <c:pt idx="13">
                  <c:v>(NH2)2</c:v>
                </c:pt>
                <c:pt idx="14">
                  <c:v>(NH)2</c:v>
                </c:pt>
                <c:pt idx="15">
                  <c:v>(OH)2</c:v>
                </c:pt>
                <c:pt idx="16">
                  <c:v>O2</c:v>
                </c:pt>
              </c:strCache>
            </c:strRef>
          </c:cat>
          <c:val>
            <c:numRef>
              <c:f>'Comparisons (BVI)'!$C$3:$C$18</c:f>
              <c:numCache>
                <c:formatCode>0.000</c:formatCode>
                <c:ptCount val="16"/>
                <c:pt idx="0">
                  <c:v>1</c:v>
                </c:pt>
                <c:pt idx="1">
                  <c:v>0.98199999999999998</c:v>
                </c:pt>
                <c:pt idx="2">
                  <c:v>0.64600000000000002</c:v>
                </c:pt>
                <c:pt idx="3">
                  <c:v>0.625</c:v>
                </c:pt>
                <c:pt idx="4">
                  <c:v>0.86899999999999999</c:v>
                </c:pt>
                <c:pt idx="5">
                  <c:v>0.67500000000000004</c:v>
                </c:pt>
                <c:pt idx="6">
                  <c:v>0.44800000000000001</c:v>
                </c:pt>
                <c:pt idx="7">
                  <c:v>0.95499999999999996</c:v>
                </c:pt>
                <c:pt idx="8">
                  <c:v>0.753</c:v>
                </c:pt>
                <c:pt idx="9">
                  <c:v>0.27800000000000002</c:v>
                </c:pt>
                <c:pt idx="10">
                  <c:v>0.97599999999999998</c:v>
                </c:pt>
                <c:pt idx="11">
                  <c:v>0.41799999999999998</c:v>
                </c:pt>
                <c:pt idx="12">
                  <c:v>0.85099999999999998</c:v>
                </c:pt>
                <c:pt idx="13">
                  <c:v>0.35899999999999999</c:v>
                </c:pt>
                <c:pt idx="14">
                  <c:v>0.98099999999999998</c:v>
                </c:pt>
                <c:pt idx="15">
                  <c:v>0.314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D9-41E2-9212-A2C64C379AE2}"/>
            </c:ext>
          </c:extLst>
        </c:ser>
        <c:ser>
          <c:idx val="3"/>
          <c:order val="1"/>
          <c:tx>
            <c:strRef>
              <c:f>'Comparisons (BVI)'!$D$2</c:f>
              <c:strCache>
                <c:ptCount val="1"/>
                <c:pt idx="0">
                  <c:v>Total Qzz (ring atoms)</c:v>
                </c:pt>
              </c:strCache>
            </c:strRef>
          </c:tx>
          <c:spPr>
            <a:ln w="15875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chemeClr val="accent6"/>
              </a:solidFill>
              <a:ln w="88900" cap="sq">
                <a:solidFill>
                  <a:schemeClr val="accent6"/>
                </a:solidFill>
                <a:prstDash val="lgDash"/>
                <a:miter lim="800000"/>
              </a:ln>
              <a:effectLst/>
            </c:spPr>
          </c:marker>
          <c:cat>
            <c:strRef>
              <c:f>'Comparisons (BVI)'!$B$2:$B$18</c:f>
              <c:strCache>
                <c:ptCount val="17"/>
                <c:pt idx="0">
                  <c:v>X</c:v>
                </c:pt>
                <c:pt idx="1">
                  <c:v>H</c:v>
                </c:pt>
                <c:pt idx="2">
                  <c:v>CH3</c:v>
                </c:pt>
                <c:pt idx="3">
                  <c:v>CH-2</c:v>
                </c:pt>
                <c:pt idx="4">
                  <c:v>CH+2</c:v>
                </c:pt>
                <c:pt idx="5">
                  <c:v>NH2</c:v>
                </c:pt>
                <c:pt idx="6">
                  <c:v>NH-</c:v>
                </c:pt>
                <c:pt idx="7">
                  <c:v>NH+</c:v>
                </c:pt>
                <c:pt idx="8">
                  <c:v>OH</c:v>
                </c:pt>
                <c:pt idx="9">
                  <c:v>O−</c:v>
                </c:pt>
                <c:pt idx="10">
                  <c:v>O+</c:v>
                </c:pt>
                <c:pt idx="11">
                  <c:v>(CH3)2</c:v>
                </c:pt>
                <c:pt idx="12">
                  <c:v>(CH2)2</c:v>
                </c:pt>
                <c:pt idx="13">
                  <c:v>(NH2)2</c:v>
                </c:pt>
                <c:pt idx="14">
                  <c:v>(NH)2</c:v>
                </c:pt>
                <c:pt idx="15">
                  <c:v>(OH)2</c:v>
                </c:pt>
                <c:pt idx="16">
                  <c:v>O2</c:v>
                </c:pt>
              </c:strCache>
            </c:strRef>
          </c:cat>
          <c:val>
            <c:numRef>
              <c:f>'Comparisons (BVI)'!$D$3:$D$18</c:f>
              <c:numCache>
                <c:formatCode>0.00</c:formatCode>
                <c:ptCount val="16"/>
                <c:pt idx="0">
                  <c:v>1</c:v>
                </c:pt>
                <c:pt idx="1">
                  <c:v>0.9460714636171601</c:v>
                </c:pt>
                <c:pt idx="2">
                  <c:v>1.3348602478680101</c:v>
                </c:pt>
                <c:pt idx="3">
                  <c:v>0.70289724501196704</c:v>
                </c:pt>
                <c:pt idx="4">
                  <c:v>1.0128949438805099</c:v>
                </c:pt>
                <c:pt idx="5">
                  <c:v>1.28279011902186</c:v>
                </c:pt>
                <c:pt idx="6">
                  <c:v>0.62660383410965403</c:v>
                </c:pt>
                <c:pt idx="7">
                  <c:v>0.98369869294585499</c:v>
                </c:pt>
                <c:pt idx="8">
                  <c:v>1.2338147537531099</c:v>
                </c:pt>
                <c:pt idx="9">
                  <c:v>0.55936173155264302</c:v>
                </c:pt>
                <c:pt idx="10">
                  <c:v>1.01844577794024</c:v>
                </c:pt>
                <c:pt idx="11">
                  <c:v>1.0828126138730101</c:v>
                </c:pt>
                <c:pt idx="12">
                  <c:v>1.0808896484089099</c:v>
                </c:pt>
                <c:pt idx="13">
                  <c:v>0.92262230284152391</c:v>
                </c:pt>
                <c:pt idx="14">
                  <c:v>1.0254662373516599</c:v>
                </c:pt>
                <c:pt idx="15">
                  <c:v>0.78717977116079696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D9-41E2-9212-A2C64C379AE2}"/>
            </c:ext>
          </c:extLst>
        </c:ser>
        <c:ser>
          <c:idx val="2"/>
          <c:order val="2"/>
          <c:tx>
            <c:strRef>
              <c:f>'Comparisons (BVI)'!$E$2</c:f>
              <c:strCache>
                <c:ptCount val="1"/>
                <c:pt idx="0">
                  <c:v>Q2(1)zz</c:v>
                </c:pt>
              </c:strCache>
            </c:strRef>
          </c:tx>
          <c:spPr>
            <a:ln w="15875" cap="rnd">
              <a:solidFill>
                <a:srgbClr val="EE0000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EE0000"/>
              </a:solidFill>
              <a:ln w="88900" cap="sq">
                <a:solidFill>
                  <a:srgbClr val="EE0000"/>
                </a:solidFill>
                <a:prstDash val="lgDash"/>
                <a:miter lim="800000"/>
              </a:ln>
              <a:effectLst/>
            </c:spPr>
          </c:marker>
          <c:cat>
            <c:strRef>
              <c:f>'Comparisons (BVI)'!$B$2:$B$18</c:f>
              <c:strCache>
                <c:ptCount val="17"/>
                <c:pt idx="0">
                  <c:v>X</c:v>
                </c:pt>
                <c:pt idx="1">
                  <c:v>H</c:v>
                </c:pt>
                <c:pt idx="2">
                  <c:v>CH3</c:v>
                </c:pt>
                <c:pt idx="3">
                  <c:v>CH-2</c:v>
                </c:pt>
                <c:pt idx="4">
                  <c:v>CH+2</c:v>
                </c:pt>
                <c:pt idx="5">
                  <c:v>NH2</c:v>
                </c:pt>
                <c:pt idx="6">
                  <c:v>NH-</c:v>
                </c:pt>
                <c:pt idx="7">
                  <c:v>NH+</c:v>
                </c:pt>
                <c:pt idx="8">
                  <c:v>OH</c:v>
                </c:pt>
                <c:pt idx="9">
                  <c:v>O−</c:v>
                </c:pt>
                <c:pt idx="10">
                  <c:v>O+</c:v>
                </c:pt>
                <c:pt idx="11">
                  <c:v>(CH3)2</c:v>
                </c:pt>
                <c:pt idx="12">
                  <c:v>(CH2)2</c:v>
                </c:pt>
                <c:pt idx="13">
                  <c:v>(NH2)2</c:v>
                </c:pt>
                <c:pt idx="14">
                  <c:v>(NH)2</c:v>
                </c:pt>
                <c:pt idx="15">
                  <c:v>(OH)2</c:v>
                </c:pt>
                <c:pt idx="16">
                  <c:v>O2</c:v>
                </c:pt>
              </c:strCache>
            </c:strRef>
          </c:cat>
          <c:val>
            <c:numRef>
              <c:f>'Comparisons (BVI)'!$E$3:$E$18</c:f>
              <c:numCache>
                <c:formatCode>0.00</c:formatCode>
                <c:ptCount val="16"/>
                <c:pt idx="0">
                  <c:v>1</c:v>
                </c:pt>
                <c:pt idx="1">
                  <c:v>0.96263233224350897</c:v>
                </c:pt>
                <c:pt idx="2">
                  <c:v>1.01810616753118</c:v>
                </c:pt>
                <c:pt idx="3">
                  <c:v>0.87368561054965599</c:v>
                </c:pt>
                <c:pt idx="4">
                  <c:v>0.95540852524362196</c:v>
                </c:pt>
                <c:pt idx="5">
                  <c:v>0.99091614706471998</c:v>
                </c:pt>
                <c:pt idx="6">
                  <c:v>0.82168968399070097</c:v>
                </c:pt>
                <c:pt idx="7">
                  <c:v>0.95398123279159708</c:v>
                </c:pt>
                <c:pt idx="8">
                  <c:v>0.96793455496862502</c:v>
                </c:pt>
                <c:pt idx="9">
                  <c:v>0.76788333918940099</c:v>
                </c:pt>
                <c:pt idx="10">
                  <c:v>0.93707010010898206</c:v>
                </c:pt>
                <c:pt idx="11">
                  <c:v>0.8756032246089831</c:v>
                </c:pt>
                <c:pt idx="12">
                  <c:v>0.947533602910962</c:v>
                </c:pt>
                <c:pt idx="13">
                  <c:v>0.83623059805340305</c:v>
                </c:pt>
                <c:pt idx="14">
                  <c:v>0.94043088748210901</c:v>
                </c:pt>
                <c:pt idx="15">
                  <c:v>0.79798948289928906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D9-41E2-9212-A2C64C379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8081376"/>
        <c:axId val="718082456"/>
        <c:extLst/>
      </c:lineChart>
      <c:catAx>
        <c:axId val="71808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8082456"/>
        <c:crossesAt val="0.2"/>
        <c:auto val="1"/>
        <c:lblAlgn val="ctr"/>
        <c:lblOffset val="100"/>
        <c:noMultiLvlLbl val="0"/>
      </c:catAx>
      <c:valAx>
        <c:axId val="718082456"/>
        <c:scaling>
          <c:orientation val="minMax"/>
          <c:max val="1.5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808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8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7291240"/>
        <c:axId val="577286200"/>
      </c:lineChart>
      <c:catAx>
        <c:axId val="577291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7286200"/>
        <c:crosses val="autoZero"/>
        <c:auto val="1"/>
        <c:lblAlgn val="ctr"/>
        <c:lblOffset val="100"/>
        <c:noMultiLvlLbl val="0"/>
      </c:catAx>
      <c:valAx>
        <c:axId val="57728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7291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'Comparisons (Iring and MCI)'!$E$2</c:f>
              <c:strCache>
                <c:ptCount val="1"/>
                <c:pt idx="0">
                  <c:v>Iring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88900" cap="sq">
                <a:solidFill>
                  <a:schemeClr val="accent1"/>
                </a:solidFill>
                <a:miter lim="800000"/>
              </a:ln>
              <a:effectLst/>
            </c:spPr>
          </c:marker>
          <c:cat>
            <c:strRef>
              <c:f>'Comparisons (Iring and MCI)'!$K$3:$K$18</c:f>
              <c:strCache>
                <c:ptCount val="16"/>
                <c:pt idx="0">
                  <c:v>H</c:v>
                </c:pt>
                <c:pt idx="1">
                  <c:v>CH3</c:v>
                </c:pt>
                <c:pt idx="2">
                  <c:v>CH-2</c:v>
                </c:pt>
                <c:pt idx="3">
                  <c:v>CH+2</c:v>
                </c:pt>
                <c:pt idx="4">
                  <c:v>NH2</c:v>
                </c:pt>
                <c:pt idx="5">
                  <c:v>NH-</c:v>
                </c:pt>
                <c:pt idx="6">
                  <c:v>NH+</c:v>
                </c:pt>
                <c:pt idx="7">
                  <c:v>OH</c:v>
                </c:pt>
                <c:pt idx="8">
                  <c:v>O−</c:v>
                </c:pt>
                <c:pt idx="9">
                  <c:v>O+</c:v>
                </c:pt>
                <c:pt idx="10">
                  <c:v>(CH3)2</c:v>
                </c:pt>
                <c:pt idx="11">
                  <c:v>(CH2)2</c:v>
                </c:pt>
                <c:pt idx="12">
                  <c:v>(NH2)2</c:v>
                </c:pt>
                <c:pt idx="13">
                  <c:v>(NH)2</c:v>
                </c:pt>
                <c:pt idx="14">
                  <c:v>(OH)2</c:v>
                </c:pt>
                <c:pt idx="15">
                  <c:v>O2</c:v>
                </c:pt>
              </c:strCache>
            </c:strRef>
          </c:cat>
          <c:val>
            <c:numRef>
              <c:f>'Comparisons (Iring and MCI)'!$E$3:$E$18</c:f>
              <c:numCache>
                <c:formatCode>0.000</c:formatCode>
                <c:ptCount val="16"/>
                <c:pt idx="0">
                  <c:v>1</c:v>
                </c:pt>
                <c:pt idx="1">
                  <c:v>0.94989561586638827</c:v>
                </c:pt>
                <c:pt idx="2">
                  <c:v>0.4801670146137787</c:v>
                </c:pt>
                <c:pt idx="3">
                  <c:v>0.46972860125260962</c:v>
                </c:pt>
                <c:pt idx="4">
                  <c:v>0.8434237995824635</c:v>
                </c:pt>
                <c:pt idx="5">
                  <c:v>0.51356993736951984</c:v>
                </c:pt>
                <c:pt idx="6">
                  <c:v>0.27557411273486432</c:v>
                </c:pt>
                <c:pt idx="7">
                  <c:v>0.87473903966597077</c:v>
                </c:pt>
                <c:pt idx="8">
                  <c:v>0.56784968684759918</c:v>
                </c:pt>
                <c:pt idx="9">
                  <c:v>0.14613778705636743</c:v>
                </c:pt>
                <c:pt idx="10">
                  <c:v>0.90605427974947816</c:v>
                </c:pt>
                <c:pt idx="11">
                  <c:v>0.18789144050104384</c:v>
                </c:pt>
                <c:pt idx="12">
                  <c:v>0.75574112734864307</c:v>
                </c:pt>
                <c:pt idx="13">
                  <c:v>0.13778705636743216</c:v>
                </c:pt>
                <c:pt idx="14">
                  <c:v>0.78705636743215024</c:v>
                </c:pt>
                <c:pt idx="15">
                  <c:v>0.1022964509394572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A-4B6F-9EF5-DB1A83580474}"/>
            </c:ext>
          </c:extLst>
        </c:ser>
        <c:ser>
          <c:idx val="1"/>
          <c:order val="1"/>
          <c:tx>
            <c:strRef>
              <c:f>'Comparisons (Iring and MCI)'!$G$2</c:f>
              <c:strCache>
                <c:ptCount val="1"/>
                <c:pt idx="0">
                  <c:v>MCI Norm</c:v>
                </c:pt>
              </c:strCache>
            </c:strRef>
          </c:tx>
          <c:spPr>
            <a:ln w="158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88900">
                <a:solidFill>
                  <a:schemeClr val="accent2"/>
                </a:solidFill>
              </a:ln>
              <a:effectLst/>
            </c:spPr>
          </c:marker>
          <c:cat>
            <c:strRef>
              <c:f>'Comparisons (Iring and MCI)'!$K$3:$K$18</c:f>
              <c:strCache>
                <c:ptCount val="16"/>
                <c:pt idx="0">
                  <c:v>H</c:v>
                </c:pt>
                <c:pt idx="1">
                  <c:v>CH3</c:v>
                </c:pt>
                <c:pt idx="2">
                  <c:v>CH-2</c:v>
                </c:pt>
                <c:pt idx="3">
                  <c:v>CH+2</c:v>
                </c:pt>
                <c:pt idx="4">
                  <c:v>NH2</c:v>
                </c:pt>
                <c:pt idx="5">
                  <c:v>NH-</c:v>
                </c:pt>
                <c:pt idx="6">
                  <c:v>NH+</c:v>
                </c:pt>
                <c:pt idx="7">
                  <c:v>OH</c:v>
                </c:pt>
                <c:pt idx="8">
                  <c:v>O−</c:v>
                </c:pt>
                <c:pt idx="9">
                  <c:v>O+</c:v>
                </c:pt>
                <c:pt idx="10">
                  <c:v>(CH3)2</c:v>
                </c:pt>
                <c:pt idx="11">
                  <c:v>(CH2)2</c:v>
                </c:pt>
                <c:pt idx="12">
                  <c:v>(NH2)2</c:v>
                </c:pt>
                <c:pt idx="13">
                  <c:v>(NH)2</c:v>
                </c:pt>
                <c:pt idx="14">
                  <c:v>(OH)2</c:v>
                </c:pt>
                <c:pt idx="15">
                  <c:v>O2</c:v>
                </c:pt>
              </c:strCache>
            </c:strRef>
          </c:cat>
          <c:val>
            <c:numRef>
              <c:f>'Comparisons (Iring and MCI)'!$G$3:$G$18</c:f>
              <c:numCache>
                <c:formatCode>0.000</c:formatCode>
                <c:ptCount val="16"/>
                <c:pt idx="0">
                  <c:v>1</c:v>
                </c:pt>
                <c:pt idx="1">
                  <c:v>0.94700139470013955</c:v>
                </c:pt>
                <c:pt idx="2">
                  <c:v>0.42677824267782427</c:v>
                </c:pt>
                <c:pt idx="3">
                  <c:v>0.36541143654114366</c:v>
                </c:pt>
                <c:pt idx="4">
                  <c:v>0.83124128312412837</c:v>
                </c:pt>
                <c:pt idx="5">
                  <c:v>0.46861924686192463</c:v>
                </c:pt>
                <c:pt idx="6">
                  <c:v>0.14365411436541145</c:v>
                </c:pt>
                <c:pt idx="7">
                  <c:v>0.86750348675034861</c:v>
                </c:pt>
                <c:pt idx="8">
                  <c:v>0.52859135285913528</c:v>
                </c:pt>
                <c:pt idx="9">
                  <c:v>1.3947001394700141E-3</c:v>
                </c:pt>
                <c:pt idx="10">
                  <c:v>0.89818688981868899</c:v>
                </c:pt>
                <c:pt idx="11">
                  <c:v>0.1394700139470014</c:v>
                </c:pt>
                <c:pt idx="12">
                  <c:v>0.7405857740585774</c:v>
                </c:pt>
                <c:pt idx="13">
                  <c:v>9.6234309623430964E-2</c:v>
                </c:pt>
                <c:pt idx="14">
                  <c:v>0.78103207810320785</c:v>
                </c:pt>
                <c:pt idx="15">
                  <c:v>6.555090655509066E-2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1A-4B6F-9EF5-DB1A83580474}"/>
            </c:ext>
          </c:extLst>
        </c:ser>
        <c:ser>
          <c:idx val="2"/>
          <c:order val="2"/>
          <c:tx>
            <c:strRef>
              <c:f>'Comparisons (Iring and MCI)'!$H$2</c:f>
              <c:strCache>
                <c:ptCount val="1"/>
                <c:pt idx="0">
                  <c:v>Q2(1)zz</c:v>
                </c:pt>
              </c:strCache>
            </c:strRef>
          </c:tx>
          <c:spPr>
            <a:ln w="15875" cap="rnd">
              <a:solidFill>
                <a:srgbClr val="EE0000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EE0000"/>
              </a:solidFill>
              <a:ln w="88900" cap="sq">
                <a:solidFill>
                  <a:srgbClr val="EE0000"/>
                </a:solidFill>
                <a:miter lim="800000"/>
              </a:ln>
              <a:effectLst/>
            </c:spPr>
          </c:marker>
          <c:cat>
            <c:strRef>
              <c:f>'Comparisons (Iring and MCI)'!$K$3:$K$18</c:f>
              <c:strCache>
                <c:ptCount val="16"/>
                <c:pt idx="0">
                  <c:v>H</c:v>
                </c:pt>
                <c:pt idx="1">
                  <c:v>CH3</c:v>
                </c:pt>
                <c:pt idx="2">
                  <c:v>CH-2</c:v>
                </c:pt>
                <c:pt idx="3">
                  <c:v>CH+2</c:v>
                </c:pt>
                <c:pt idx="4">
                  <c:v>NH2</c:v>
                </c:pt>
                <c:pt idx="5">
                  <c:v>NH-</c:v>
                </c:pt>
                <c:pt idx="6">
                  <c:v>NH+</c:v>
                </c:pt>
                <c:pt idx="7">
                  <c:v>OH</c:v>
                </c:pt>
                <c:pt idx="8">
                  <c:v>O−</c:v>
                </c:pt>
                <c:pt idx="9">
                  <c:v>O+</c:v>
                </c:pt>
                <c:pt idx="10">
                  <c:v>(CH3)2</c:v>
                </c:pt>
                <c:pt idx="11">
                  <c:v>(CH2)2</c:v>
                </c:pt>
                <c:pt idx="12">
                  <c:v>(NH2)2</c:v>
                </c:pt>
                <c:pt idx="13">
                  <c:v>(NH)2</c:v>
                </c:pt>
                <c:pt idx="14">
                  <c:v>(OH)2</c:v>
                </c:pt>
                <c:pt idx="15">
                  <c:v>O2</c:v>
                </c:pt>
              </c:strCache>
            </c:strRef>
          </c:cat>
          <c:val>
            <c:numRef>
              <c:f>'Comparisons (Iring and MCI)'!$H$3:$H$18</c:f>
              <c:numCache>
                <c:formatCode>0.00</c:formatCode>
                <c:ptCount val="16"/>
                <c:pt idx="0">
                  <c:v>1</c:v>
                </c:pt>
                <c:pt idx="1">
                  <c:v>0.96263233224350897</c:v>
                </c:pt>
                <c:pt idx="2">
                  <c:v>1.01810616753118</c:v>
                </c:pt>
                <c:pt idx="3">
                  <c:v>0.87368561054965599</c:v>
                </c:pt>
                <c:pt idx="4">
                  <c:v>0.95540852524362196</c:v>
                </c:pt>
                <c:pt idx="5">
                  <c:v>0.99091614706471998</c:v>
                </c:pt>
                <c:pt idx="6">
                  <c:v>0.82168968399070097</c:v>
                </c:pt>
                <c:pt idx="7">
                  <c:v>0.95398123279159708</c:v>
                </c:pt>
                <c:pt idx="8">
                  <c:v>0.96793455496862502</c:v>
                </c:pt>
                <c:pt idx="9">
                  <c:v>0.76788333918940099</c:v>
                </c:pt>
                <c:pt idx="10">
                  <c:v>0.93707010010898206</c:v>
                </c:pt>
                <c:pt idx="11">
                  <c:v>0.8756032246089831</c:v>
                </c:pt>
                <c:pt idx="12">
                  <c:v>0.947533602910962</c:v>
                </c:pt>
                <c:pt idx="13">
                  <c:v>0.83623059805340305</c:v>
                </c:pt>
                <c:pt idx="14">
                  <c:v>0.94043088748210901</c:v>
                </c:pt>
                <c:pt idx="15">
                  <c:v>0.79798948289928906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1A-4B6F-9EF5-DB1A83580474}"/>
            </c:ext>
          </c:extLst>
        </c:ser>
        <c:ser>
          <c:idx val="3"/>
          <c:order val="3"/>
          <c:tx>
            <c:strRef>
              <c:f>'Comparisons (Iring and MCI)'!$M$2</c:f>
              <c:strCache>
                <c:ptCount val="1"/>
                <c:pt idx="0">
                  <c:v>Total Qzz (ring atoms)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chemeClr val="accent6"/>
              </a:solidFill>
              <a:ln w="88900" cap="sq">
                <a:solidFill>
                  <a:schemeClr val="accent6"/>
                </a:solidFill>
                <a:prstDash val="lgDash"/>
                <a:miter lim="800000"/>
              </a:ln>
              <a:effectLst/>
            </c:spPr>
          </c:marker>
          <c:cat>
            <c:strRef>
              <c:f>'Comparisons (Iring and MCI)'!$K$3:$K$18</c:f>
              <c:strCache>
                <c:ptCount val="16"/>
                <c:pt idx="0">
                  <c:v>H</c:v>
                </c:pt>
                <c:pt idx="1">
                  <c:v>CH3</c:v>
                </c:pt>
                <c:pt idx="2">
                  <c:v>CH-2</c:v>
                </c:pt>
                <c:pt idx="3">
                  <c:v>CH+2</c:v>
                </c:pt>
                <c:pt idx="4">
                  <c:v>NH2</c:v>
                </c:pt>
                <c:pt idx="5">
                  <c:v>NH-</c:v>
                </c:pt>
                <c:pt idx="6">
                  <c:v>NH+</c:v>
                </c:pt>
                <c:pt idx="7">
                  <c:v>OH</c:v>
                </c:pt>
                <c:pt idx="8">
                  <c:v>O−</c:v>
                </c:pt>
                <c:pt idx="9">
                  <c:v>O+</c:v>
                </c:pt>
                <c:pt idx="10">
                  <c:v>(CH3)2</c:v>
                </c:pt>
                <c:pt idx="11">
                  <c:v>(CH2)2</c:v>
                </c:pt>
                <c:pt idx="12">
                  <c:v>(NH2)2</c:v>
                </c:pt>
                <c:pt idx="13">
                  <c:v>(NH)2</c:v>
                </c:pt>
                <c:pt idx="14">
                  <c:v>(OH)2</c:v>
                </c:pt>
                <c:pt idx="15">
                  <c:v>O2</c:v>
                </c:pt>
              </c:strCache>
              <c:extLst xmlns:c15="http://schemas.microsoft.com/office/drawing/2012/chart"/>
            </c:strRef>
          </c:cat>
          <c:val>
            <c:numRef>
              <c:f>'Comparisons (Iring and MCI)'!$M$3:$M$18</c:f>
              <c:numCache>
                <c:formatCode>0.00</c:formatCode>
                <c:ptCount val="16"/>
                <c:pt idx="0">
                  <c:v>1</c:v>
                </c:pt>
                <c:pt idx="1">
                  <c:v>0.9460714636171601</c:v>
                </c:pt>
                <c:pt idx="2">
                  <c:v>1.3348602478680101</c:v>
                </c:pt>
                <c:pt idx="3">
                  <c:v>0.70289724501196704</c:v>
                </c:pt>
                <c:pt idx="4">
                  <c:v>1.0128949438805099</c:v>
                </c:pt>
                <c:pt idx="5">
                  <c:v>1.28279011902186</c:v>
                </c:pt>
                <c:pt idx="6">
                  <c:v>0.62660383410965403</c:v>
                </c:pt>
                <c:pt idx="7">
                  <c:v>0.98369869294585499</c:v>
                </c:pt>
                <c:pt idx="8">
                  <c:v>1.2338147537531099</c:v>
                </c:pt>
                <c:pt idx="9">
                  <c:v>0.55936173155264302</c:v>
                </c:pt>
                <c:pt idx="10">
                  <c:v>1.01844577794024</c:v>
                </c:pt>
                <c:pt idx="11">
                  <c:v>1.0828126138730101</c:v>
                </c:pt>
                <c:pt idx="12">
                  <c:v>1.0808896484089099</c:v>
                </c:pt>
                <c:pt idx="13">
                  <c:v>0.92262230284152391</c:v>
                </c:pt>
                <c:pt idx="14">
                  <c:v>1.0254662373516599</c:v>
                </c:pt>
                <c:pt idx="15">
                  <c:v>0.78717977116079696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21A-4B6F-9EF5-DB1A83580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8081376"/>
        <c:axId val="718082456"/>
        <c:extLst/>
      </c:lineChart>
      <c:catAx>
        <c:axId val="71808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8082456"/>
        <c:crosses val="autoZero"/>
        <c:auto val="1"/>
        <c:lblAlgn val="ctr"/>
        <c:lblOffset val="100"/>
        <c:noMultiLvlLbl val="0"/>
      </c:catAx>
      <c:valAx>
        <c:axId val="718082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808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8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'Comparisons (NICS)'!$C$2</c:f>
              <c:strCache>
                <c:ptCount val="1"/>
                <c:pt idx="0">
                  <c:v>NICS(0) normalized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88900" cap="sq">
                <a:solidFill>
                  <a:schemeClr val="accent1"/>
                </a:solidFill>
                <a:miter lim="800000"/>
              </a:ln>
              <a:effectLst/>
            </c:spPr>
          </c:marker>
          <c:cat>
            <c:strRef>
              <c:f>'Comparisons (NICS)'!$I$3:$I$18</c:f>
              <c:strCache>
                <c:ptCount val="16"/>
                <c:pt idx="0">
                  <c:v>H</c:v>
                </c:pt>
                <c:pt idx="1">
                  <c:v>CH3</c:v>
                </c:pt>
                <c:pt idx="2">
                  <c:v>CH-2</c:v>
                </c:pt>
                <c:pt idx="3">
                  <c:v>CH+2</c:v>
                </c:pt>
                <c:pt idx="4">
                  <c:v>NH2</c:v>
                </c:pt>
                <c:pt idx="5">
                  <c:v>NH-</c:v>
                </c:pt>
                <c:pt idx="6">
                  <c:v>NH+</c:v>
                </c:pt>
                <c:pt idx="7">
                  <c:v>OH</c:v>
                </c:pt>
                <c:pt idx="8">
                  <c:v>O−</c:v>
                </c:pt>
                <c:pt idx="9">
                  <c:v>O+</c:v>
                </c:pt>
                <c:pt idx="10">
                  <c:v>(CH3)2</c:v>
                </c:pt>
                <c:pt idx="11">
                  <c:v>(CH2)2</c:v>
                </c:pt>
                <c:pt idx="12">
                  <c:v>(NH2)2</c:v>
                </c:pt>
                <c:pt idx="13">
                  <c:v>(NH)2</c:v>
                </c:pt>
                <c:pt idx="14">
                  <c:v>(OH)2</c:v>
                </c:pt>
                <c:pt idx="15">
                  <c:v>O2</c:v>
                </c:pt>
              </c:strCache>
            </c:strRef>
          </c:cat>
          <c:val>
            <c:numRef>
              <c:f>'Comparisons (NICS)'!$C$3:$C$18</c:f>
              <c:numCache>
                <c:formatCode>0.000</c:formatCode>
                <c:ptCount val="16"/>
                <c:pt idx="0">
                  <c:v>1</c:v>
                </c:pt>
                <c:pt idx="1">
                  <c:v>0.9924050632911392</c:v>
                </c:pt>
                <c:pt idx="2">
                  <c:v>-0.22151898734177214</c:v>
                </c:pt>
                <c:pt idx="3">
                  <c:v>0.16202531645569621</c:v>
                </c:pt>
                <c:pt idx="4">
                  <c:v>0.96835443037974689</c:v>
                </c:pt>
                <c:pt idx="5">
                  <c:v>0.2189873417721519</c:v>
                </c:pt>
                <c:pt idx="6">
                  <c:v>-0.59113924050632904</c:v>
                </c:pt>
                <c:pt idx="7">
                  <c:v>1.1151898734177215</c:v>
                </c:pt>
                <c:pt idx="8">
                  <c:v>0.49746835443037973</c:v>
                </c:pt>
                <c:pt idx="9">
                  <c:v>-1.7544303797468352</c:v>
                </c:pt>
                <c:pt idx="10">
                  <c:v>0.98734177215189867</c:v>
                </c:pt>
                <c:pt idx="11">
                  <c:v>-0.33164556962025316</c:v>
                </c:pt>
                <c:pt idx="12">
                  <c:v>1.0278481012658227</c:v>
                </c:pt>
                <c:pt idx="13">
                  <c:v>-0.52784810126582271</c:v>
                </c:pt>
                <c:pt idx="14">
                  <c:v>1.2443037974683544</c:v>
                </c:pt>
                <c:pt idx="15">
                  <c:v>-1.1215189873417721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1-45BF-A338-58D7D6E7CC27}"/>
            </c:ext>
          </c:extLst>
        </c:ser>
        <c:ser>
          <c:idx val="1"/>
          <c:order val="1"/>
          <c:tx>
            <c:strRef>
              <c:f>'Comparisons (NICS)'!$E$2</c:f>
              <c:strCache>
                <c:ptCount val="1"/>
                <c:pt idx="0">
                  <c:v>NICS(1)zz normalized</c:v>
                </c:pt>
              </c:strCache>
            </c:strRef>
          </c:tx>
          <c:spPr>
            <a:ln w="158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88900">
                <a:solidFill>
                  <a:schemeClr val="accent2"/>
                </a:solidFill>
              </a:ln>
              <a:effectLst/>
            </c:spPr>
          </c:marker>
          <c:cat>
            <c:strRef>
              <c:f>'Comparisons (NICS)'!$I$3:$I$18</c:f>
              <c:strCache>
                <c:ptCount val="16"/>
                <c:pt idx="0">
                  <c:v>H</c:v>
                </c:pt>
                <c:pt idx="1">
                  <c:v>CH3</c:v>
                </c:pt>
                <c:pt idx="2">
                  <c:v>CH-2</c:v>
                </c:pt>
                <c:pt idx="3">
                  <c:v>CH+2</c:v>
                </c:pt>
                <c:pt idx="4">
                  <c:v>NH2</c:v>
                </c:pt>
                <c:pt idx="5">
                  <c:v>NH-</c:v>
                </c:pt>
                <c:pt idx="6">
                  <c:v>NH+</c:v>
                </c:pt>
                <c:pt idx="7">
                  <c:v>OH</c:v>
                </c:pt>
                <c:pt idx="8">
                  <c:v>O−</c:v>
                </c:pt>
                <c:pt idx="9">
                  <c:v>O+</c:v>
                </c:pt>
                <c:pt idx="10">
                  <c:v>(CH3)2</c:v>
                </c:pt>
                <c:pt idx="11">
                  <c:v>(CH2)2</c:v>
                </c:pt>
                <c:pt idx="12">
                  <c:v>(NH2)2</c:v>
                </c:pt>
                <c:pt idx="13">
                  <c:v>(NH)2</c:v>
                </c:pt>
                <c:pt idx="14">
                  <c:v>(OH)2</c:v>
                </c:pt>
                <c:pt idx="15">
                  <c:v>O2</c:v>
                </c:pt>
              </c:strCache>
            </c:strRef>
          </c:cat>
          <c:val>
            <c:numRef>
              <c:f>'Comparisons (NICS)'!$E$3:$E$18</c:f>
              <c:numCache>
                <c:formatCode>0.000</c:formatCode>
                <c:ptCount val="16"/>
                <c:pt idx="0">
                  <c:v>1</c:v>
                </c:pt>
                <c:pt idx="1">
                  <c:v>0.96233333333333337</c:v>
                </c:pt>
                <c:pt idx="2">
                  <c:v>0.11066666666666666</c:v>
                </c:pt>
                <c:pt idx="3">
                  <c:v>0.50166666666666671</c:v>
                </c:pt>
                <c:pt idx="4">
                  <c:v>0.83933333333333338</c:v>
                </c:pt>
                <c:pt idx="5">
                  <c:v>0.38999999999999996</c:v>
                </c:pt>
                <c:pt idx="6">
                  <c:v>0.14233333333333331</c:v>
                </c:pt>
                <c:pt idx="7">
                  <c:v>0.90700000000000003</c:v>
                </c:pt>
                <c:pt idx="8">
                  <c:v>0.60566666666666669</c:v>
                </c:pt>
                <c:pt idx="9">
                  <c:v>-0.312</c:v>
                </c:pt>
                <c:pt idx="10">
                  <c:v>0.91099999999999992</c:v>
                </c:pt>
                <c:pt idx="11">
                  <c:v>4.5333333333333337E-2</c:v>
                </c:pt>
                <c:pt idx="12">
                  <c:v>0.75466666666666671</c:v>
                </c:pt>
                <c:pt idx="13">
                  <c:v>2.4333333333333332E-2</c:v>
                </c:pt>
                <c:pt idx="14">
                  <c:v>0.83133333333333337</c:v>
                </c:pt>
                <c:pt idx="15">
                  <c:v>-0.10666666666666667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61-45BF-A338-58D7D6E7CC27}"/>
            </c:ext>
          </c:extLst>
        </c:ser>
        <c:ser>
          <c:idx val="2"/>
          <c:order val="2"/>
          <c:tx>
            <c:strRef>
              <c:f>'Comparisons (NICS)'!$F$2</c:f>
              <c:strCache>
                <c:ptCount val="1"/>
                <c:pt idx="0">
                  <c:v>Q2(1)zz</c:v>
                </c:pt>
              </c:strCache>
            </c:strRef>
          </c:tx>
          <c:spPr>
            <a:ln w="15875" cap="rnd">
              <a:solidFill>
                <a:srgbClr val="EE0000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EE0000"/>
              </a:solidFill>
              <a:ln w="88900" cap="sq">
                <a:solidFill>
                  <a:srgbClr val="EE0000"/>
                </a:solidFill>
                <a:miter lim="800000"/>
              </a:ln>
              <a:effectLst/>
            </c:spPr>
          </c:marker>
          <c:cat>
            <c:strRef>
              <c:f>'Comparisons (NICS)'!$I$3:$I$18</c:f>
              <c:strCache>
                <c:ptCount val="16"/>
                <c:pt idx="0">
                  <c:v>H</c:v>
                </c:pt>
                <c:pt idx="1">
                  <c:v>CH3</c:v>
                </c:pt>
                <c:pt idx="2">
                  <c:v>CH-2</c:v>
                </c:pt>
                <c:pt idx="3">
                  <c:v>CH+2</c:v>
                </c:pt>
                <c:pt idx="4">
                  <c:v>NH2</c:v>
                </c:pt>
                <c:pt idx="5">
                  <c:v>NH-</c:v>
                </c:pt>
                <c:pt idx="6">
                  <c:v>NH+</c:v>
                </c:pt>
                <c:pt idx="7">
                  <c:v>OH</c:v>
                </c:pt>
                <c:pt idx="8">
                  <c:v>O−</c:v>
                </c:pt>
                <c:pt idx="9">
                  <c:v>O+</c:v>
                </c:pt>
                <c:pt idx="10">
                  <c:v>(CH3)2</c:v>
                </c:pt>
                <c:pt idx="11">
                  <c:v>(CH2)2</c:v>
                </c:pt>
                <c:pt idx="12">
                  <c:v>(NH2)2</c:v>
                </c:pt>
                <c:pt idx="13">
                  <c:v>(NH)2</c:v>
                </c:pt>
                <c:pt idx="14">
                  <c:v>(OH)2</c:v>
                </c:pt>
                <c:pt idx="15">
                  <c:v>O2</c:v>
                </c:pt>
              </c:strCache>
            </c:strRef>
          </c:cat>
          <c:val>
            <c:numRef>
              <c:f>'Comparisons (NICS)'!$F$3:$F$18</c:f>
              <c:numCache>
                <c:formatCode>0.00</c:formatCode>
                <c:ptCount val="16"/>
                <c:pt idx="0">
                  <c:v>1</c:v>
                </c:pt>
                <c:pt idx="1">
                  <c:v>0.96263233224350897</c:v>
                </c:pt>
                <c:pt idx="2">
                  <c:v>1.01810616753118</c:v>
                </c:pt>
                <c:pt idx="3">
                  <c:v>0.87368561054965599</c:v>
                </c:pt>
                <c:pt idx="4">
                  <c:v>0.95540852524362196</c:v>
                </c:pt>
                <c:pt idx="5">
                  <c:v>0.99091614706471998</c:v>
                </c:pt>
                <c:pt idx="6">
                  <c:v>0.82168968399070097</c:v>
                </c:pt>
                <c:pt idx="7">
                  <c:v>0.95398123279159708</c:v>
                </c:pt>
                <c:pt idx="8">
                  <c:v>0.96793455496862502</c:v>
                </c:pt>
                <c:pt idx="9">
                  <c:v>0.76788333918940099</c:v>
                </c:pt>
                <c:pt idx="10">
                  <c:v>0.93707010010898206</c:v>
                </c:pt>
                <c:pt idx="11">
                  <c:v>0.8756032246089831</c:v>
                </c:pt>
                <c:pt idx="12">
                  <c:v>0.947533602910962</c:v>
                </c:pt>
                <c:pt idx="13">
                  <c:v>0.83623059805340305</c:v>
                </c:pt>
                <c:pt idx="14">
                  <c:v>0.94043088748210901</c:v>
                </c:pt>
                <c:pt idx="15">
                  <c:v>0.79798948289928906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61-45BF-A338-58D7D6E7CC27}"/>
            </c:ext>
          </c:extLst>
        </c:ser>
        <c:ser>
          <c:idx val="3"/>
          <c:order val="3"/>
          <c:tx>
            <c:strRef>
              <c:f>'Comparisons (NICS)'!$M$2</c:f>
              <c:strCache>
                <c:ptCount val="1"/>
                <c:pt idx="0">
                  <c:v>Qzz origin</c:v>
                </c:pt>
              </c:strCache>
            </c:strRef>
          </c:tx>
          <c:spPr>
            <a:ln w="15875" cap="rnd">
              <a:solidFill>
                <a:schemeClr val="accent6">
                  <a:lumMod val="75000"/>
                </a:schemeClr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chemeClr val="accent6">
                  <a:lumMod val="75000"/>
                </a:schemeClr>
              </a:solidFill>
              <a:ln w="88900" cap="sq">
                <a:solidFill>
                  <a:schemeClr val="accent6">
                    <a:lumMod val="75000"/>
                  </a:schemeClr>
                </a:solidFill>
                <a:prstDash val="lgDash"/>
                <a:miter lim="800000"/>
              </a:ln>
              <a:effectLst/>
            </c:spPr>
          </c:marker>
          <c:cat>
            <c:strRef>
              <c:f>'Comparisons (NICS)'!$I$3:$I$18</c:f>
              <c:strCache>
                <c:ptCount val="16"/>
                <c:pt idx="0">
                  <c:v>H</c:v>
                </c:pt>
                <c:pt idx="1">
                  <c:v>CH3</c:v>
                </c:pt>
                <c:pt idx="2">
                  <c:v>CH-2</c:v>
                </c:pt>
                <c:pt idx="3">
                  <c:v>CH+2</c:v>
                </c:pt>
                <c:pt idx="4">
                  <c:v>NH2</c:v>
                </c:pt>
                <c:pt idx="5">
                  <c:v>NH-</c:v>
                </c:pt>
                <c:pt idx="6">
                  <c:v>NH+</c:v>
                </c:pt>
                <c:pt idx="7">
                  <c:v>OH</c:v>
                </c:pt>
                <c:pt idx="8">
                  <c:v>O−</c:v>
                </c:pt>
                <c:pt idx="9">
                  <c:v>O+</c:v>
                </c:pt>
                <c:pt idx="10">
                  <c:v>(CH3)2</c:v>
                </c:pt>
                <c:pt idx="11">
                  <c:v>(CH2)2</c:v>
                </c:pt>
                <c:pt idx="12">
                  <c:v>(NH2)2</c:v>
                </c:pt>
                <c:pt idx="13">
                  <c:v>(NH)2</c:v>
                </c:pt>
                <c:pt idx="14">
                  <c:v>(OH)2</c:v>
                </c:pt>
                <c:pt idx="15">
                  <c:v>O2</c:v>
                </c:pt>
              </c:strCache>
            </c:strRef>
          </c:cat>
          <c:val>
            <c:numRef>
              <c:f>'Comparisons (NICS)'!$M$3:$M$18</c:f>
              <c:numCache>
                <c:formatCode>0.00</c:formatCode>
                <c:ptCount val="16"/>
                <c:pt idx="0">
                  <c:v>1</c:v>
                </c:pt>
                <c:pt idx="1">
                  <c:v>0.92924241268461205</c:v>
                </c:pt>
                <c:pt idx="2">
                  <c:v>-0.40923835826764898</c:v>
                </c:pt>
                <c:pt idx="3">
                  <c:v>2.59299157106219</c:v>
                </c:pt>
                <c:pt idx="4">
                  <c:v>1.3739065874870999</c:v>
                </c:pt>
                <c:pt idx="5">
                  <c:v>-0.75465953172877309</c:v>
                </c:pt>
                <c:pt idx="6">
                  <c:v>2.0353251527459699</c:v>
                </c:pt>
                <c:pt idx="7">
                  <c:v>1.05887943438793</c:v>
                </c:pt>
                <c:pt idx="8">
                  <c:v>-0.94512203829891406</c:v>
                </c:pt>
                <c:pt idx="9">
                  <c:v>1.5611114536234201</c:v>
                </c:pt>
                <c:pt idx="10">
                  <c:v>0.89270406970810601</c:v>
                </c:pt>
                <c:pt idx="11">
                  <c:v>1.25605193136889</c:v>
                </c:pt>
                <c:pt idx="12">
                  <c:v>1.7472309620915498</c:v>
                </c:pt>
                <c:pt idx="13">
                  <c:v>0.20312367748158</c:v>
                </c:pt>
                <c:pt idx="14">
                  <c:v>1.0880822085286901</c:v>
                </c:pt>
                <c:pt idx="15">
                  <c:v>-0.58971007087218297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61-45BF-A338-58D7D6E7C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8081376"/>
        <c:axId val="718082456"/>
        <c:extLst/>
      </c:lineChart>
      <c:catAx>
        <c:axId val="71808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8082456"/>
        <c:crossesAt val="-2"/>
        <c:auto val="1"/>
        <c:lblAlgn val="ctr"/>
        <c:lblOffset val="100"/>
        <c:noMultiLvlLbl val="0"/>
      </c:catAx>
      <c:valAx>
        <c:axId val="718082456"/>
        <c:scaling>
          <c:orientation val="minMax"/>
          <c:max val="2.6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808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8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419324</xdr:colOff>
      <xdr:row>76</xdr:row>
      <xdr:rowOff>57830</xdr:rowOff>
    </xdr:from>
    <xdr:to>
      <xdr:col>12</xdr:col>
      <xdr:colOff>911903</xdr:colOff>
      <xdr:row>99</xdr:row>
      <xdr:rowOff>67627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29F8CB2-E4F9-0CF5-1BAD-D30D43D80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7824" y="16821830"/>
          <a:ext cx="7160079" cy="4391297"/>
        </a:xfrm>
        <a:prstGeom prst="rect">
          <a:avLst/>
        </a:prstGeom>
      </xdr:spPr>
    </xdr:pic>
    <xdr:clientData/>
  </xdr:twoCellAnchor>
  <xdr:twoCellAnchor editAs="oneCell">
    <xdr:from>
      <xdr:col>51</xdr:col>
      <xdr:colOff>482419</xdr:colOff>
      <xdr:row>76</xdr:row>
      <xdr:rowOff>5647</xdr:rowOff>
    </xdr:from>
    <xdr:to>
      <xdr:col>64</xdr:col>
      <xdr:colOff>242535</xdr:colOff>
      <xdr:row>100</xdr:row>
      <xdr:rowOff>97087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548DE5D-2507-F7C3-1F50-DB45F490A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53919" y="16769647"/>
          <a:ext cx="7189616" cy="4663440"/>
        </a:xfrm>
        <a:prstGeom prst="rect">
          <a:avLst/>
        </a:prstGeom>
      </xdr:spPr>
    </xdr:pic>
    <xdr:clientData/>
  </xdr:twoCellAnchor>
  <xdr:twoCellAnchor editAs="oneCell">
    <xdr:from>
      <xdr:col>21</xdr:col>
      <xdr:colOff>419287</xdr:colOff>
      <xdr:row>50</xdr:row>
      <xdr:rowOff>19012</xdr:rowOff>
    </xdr:from>
    <xdr:to>
      <xdr:col>34</xdr:col>
      <xdr:colOff>143063</xdr:colOff>
      <xdr:row>74</xdr:row>
      <xdr:rowOff>110452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D113AA0-B02D-DC87-0D89-6CD1AA231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45787" y="11830012"/>
          <a:ext cx="7153276" cy="4663440"/>
        </a:xfrm>
        <a:prstGeom prst="rect">
          <a:avLst/>
        </a:prstGeom>
      </xdr:spPr>
    </xdr:pic>
    <xdr:clientData/>
  </xdr:twoCellAnchor>
  <xdr:twoCellAnchor editAs="oneCell">
    <xdr:from>
      <xdr:col>21</xdr:col>
      <xdr:colOff>280815</xdr:colOff>
      <xdr:row>77</xdr:row>
      <xdr:rowOff>171053</xdr:rowOff>
    </xdr:from>
    <xdr:to>
      <xdr:col>34</xdr:col>
      <xdr:colOff>4592</xdr:colOff>
      <xdr:row>100</xdr:row>
      <xdr:rowOff>153636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CE2095B-5C42-C10C-7280-A0358F182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07315" y="17125553"/>
          <a:ext cx="7153277" cy="4364083"/>
        </a:xfrm>
        <a:prstGeom prst="rect">
          <a:avLst/>
        </a:prstGeom>
      </xdr:spPr>
    </xdr:pic>
    <xdr:clientData/>
  </xdr:twoCellAnchor>
  <xdr:twoCellAnchor editAs="oneCell">
    <xdr:from>
      <xdr:col>77</xdr:col>
      <xdr:colOff>307192</xdr:colOff>
      <xdr:row>49</xdr:row>
      <xdr:rowOff>95250</xdr:rowOff>
    </xdr:from>
    <xdr:to>
      <xdr:col>90</xdr:col>
      <xdr:colOff>40491</xdr:colOff>
      <xdr:row>73</xdr:row>
      <xdr:rowOff>186690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C1449F9C-B117-DC66-064E-D069329B6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37692" y="11715750"/>
          <a:ext cx="7162799" cy="4663440"/>
        </a:xfrm>
        <a:prstGeom prst="rect">
          <a:avLst/>
        </a:prstGeom>
      </xdr:spPr>
    </xdr:pic>
    <xdr:clientData/>
  </xdr:twoCellAnchor>
  <xdr:twoCellAnchor editAs="oneCell">
    <xdr:from>
      <xdr:col>77</xdr:col>
      <xdr:colOff>276881</xdr:colOff>
      <xdr:row>76</xdr:row>
      <xdr:rowOff>18429</xdr:rowOff>
    </xdr:from>
    <xdr:to>
      <xdr:col>90</xdr:col>
      <xdr:colOff>4118</xdr:colOff>
      <xdr:row>100</xdr:row>
      <xdr:rowOff>109869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3684683E-E816-C9FD-6242-831E5A2DE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07381" y="16782429"/>
          <a:ext cx="7156737" cy="4663440"/>
        </a:xfrm>
        <a:prstGeom prst="rect">
          <a:avLst/>
        </a:prstGeom>
      </xdr:spPr>
    </xdr:pic>
    <xdr:clientData/>
  </xdr:twoCellAnchor>
  <xdr:twoCellAnchor editAs="oneCell">
    <xdr:from>
      <xdr:col>12</xdr:col>
      <xdr:colOff>881175</xdr:colOff>
      <xdr:row>50</xdr:row>
      <xdr:rowOff>176099</xdr:rowOff>
    </xdr:from>
    <xdr:to>
      <xdr:col>21</xdr:col>
      <xdr:colOff>262049</xdr:colOff>
      <xdr:row>75</xdr:row>
      <xdr:rowOff>77039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6884CF8E-BC6E-D453-CD57-709C74C9B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97175" y="11987099"/>
          <a:ext cx="7191374" cy="4663440"/>
        </a:xfrm>
        <a:prstGeom prst="rect">
          <a:avLst/>
        </a:prstGeom>
      </xdr:spPr>
    </xdr:pic>
    <xdr:clientData/>
  </xdr:twoCellAnchor>
  <xdr:twoCellAnchor editAs="oneCell">
    <xdr:from>
      <xdr:col>8</xdr:col>
      <xdr:colOff>79292</xdr:colOff>
      <xdr:row>101</xdr:row>
      <xdr:rowOff>184154</xdr:rowOff>
    </xdr:from>
    <xdr:to>
      <xdr:col>15</xdr:col>
      <xdr:colOff>606506</xdr:colOff>
      <xdr:row>126</xdr:row>
      <xdr:rowOff>43106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5D50459F-C23C-9F4C-B2B1-C2C9C593C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292" y="21710654"/>
          <a:ext cx="7194714" cy="4621452"/>
        </a:xfrm>
        <a:prstGeom prst="rect">
          <a:avLst/>
        </a:prstGeom>
      </xdr:spPr>
    </xdr:pic>
    <xdr:clientData/>
  </xdr:twoCellAnchor>
  <xdr:twoCellAnchor editAs="oneCell">
    <xdr:from>
      <xdr:col>64</xdr:col>
      <xdr:colOff>428978</xdr:colOff>
      <xdr:row>49</xdr:row>
      <xdr:rowOff>164930</xdr:rowOff>
    </xdr:from>
    <xdr:to>
      <xdr:col>77</xdr:col>
      <xdr:colOff>162278</xdr:colOff>
      <xdr:row>74</xdr:row>
      <xdr:rowOff>65870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D7508979-718C-7EB6-5A97-0EE9CE097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29978" y="11785430"/>
          <a:ext cx="7162800" cy="4663440"/>
        </a:xfrm>
        <a:prstGeom prst="rect">
          <a:avLst/>
        </a:prstGeom>
      </xdr:spPr>
    </xdr:pic>
    <xdr:clientData/>
  </xdr:twoCellAnchor>
  <xdr:twoCellAnchor editAs="oneCell">
    <xdr:from>
      <xdr:col>57</xdr:col>
      <xdr:colOff>412012</xdr:colOff>
      <xdr:row>102</xdr:row>
      <xdr:rowOff>151148</xdr:rowOff>
    </xdr:from>
    <xdr:to>
      <xdr:col>70</xdr:col>
      <xdr:colOff>192937</xdr:colOff>
      <xdr:row>126</xdr:row>
      <xdr:rowOff>126453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F7EA13AC-FED0-CA19-81F5-CA59E778B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12512" y="21868148"/>
          <a:ext cx="7210425" cy="4547305"/>
        </a:xfrm>
        <a:prstGeom prst="rect">
          <a:avLst/>
        </a:prstGeom>
      </xdr:spPr>
    </xdr:pic>
    <xdr:clientData/>
  </xdr:twoCellAnchor>
  <xdr:twoCellAnchor editAs="oneCell">
    <xdr:from>
      <xdr:col>13</xdr:col>
      <xdr:colOff>108710</xdr:colOff>
      <xdr:row>76</xdr:row>
      <xdr:rowOff>76446</xdr:rowOff>
    </xdr:from>
    <xdr:to>
      <xdr:col>21</xdr:col>
      <xdr:colOff>399223</xdr:colOff>
      <xdr:row>100</xdr:row>
      <xdr:rowOff>185204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B8F0C193-87D7-7DEB-BEC7-807ECAAA3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77210" y="16840446"/>
          <a:ext cx="7148513" cy="4680758"/>
        </a:xfrm>
        <a:prstGeom prst="rect">
          <a:avLst/>
        </a:prstGeom>
      </xdr:spPr>
    </xdr:pic>
    <xdr:clientData/>
  </xdr:twoCellAnchor>
  <xdr:twoCellAnchor editAs="oneCell">
    <xdr:from>
      <xdr:col>64</xdr:col>
      <xdr:colOff>475929</xdr:colOff>
      <xdr:row>75</xdr:row>
      <xdr:rowOff>74849</xdr:rowOff>
    </xdr:from>
    <xdr:to>
      <xdr:col>77</xdr:col>
      <xdr:colOff>161606</xdr:colOff>
      <xdr:row>99</xdr:row>
      <xdr:rowOff>166289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2AA98DCA-A3FC-9C35-B9B8-729EFAB82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76929" y="16648349"/>
          <a:ext cx="7115177" cy="4663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137886</xdr:rowOff>
    </xdr:from>
    <xdr:to>
      <xdr:col>5</xdr:col>
      <xdr:colOff>114299</xdr:colOff>
      <xdr:row>100</xdr:row>
      <xdr:rowOff>29301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E798546F-3ABF-701B-D039-5CDB6CE7B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711386"/>
          <a:ext cx="7162799" cy="4653915"/>
        </a:xfrm>
        <a:prstGeom prst="rect">
          <a:avLst/>
        </a:prstGeom>
      </xdr:spPr>
    </xdr:pic>
    <xdr:clientData/>
  </xdr:twoCellAnchor>
  <xdr:twoCellAnchor editAs="oneCell">
    <xdr:from>
      <xdr:col>38</xdr:col>
      <xdr:colOff>532731</xdr:colOff>
      <xdr:row>76</xdr:row>
      <xdr:rowOff>9929</xdr:rowOff>
    </xdr:from>
    <xdr:to>
      <xdr:col>51</xdr:col>
      <xdr:colOff>310191</xdr:colOff>
      <xdr:row>100</xdr:row>
      <xdr:rowOff>101369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F968D6EA-F6BA-4CFD-BFD1-E3781D340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74731" y="16773929"/>
          <a:ext cx="7206960" cy="4663440"/>
        </a:xfrm>
        <a:prstGeom prst="rect">
          <a:avLst/>
        </a:prstGeom>
      </xdr:spPr>
    </xdr:pic>
    <xdr:clientData/>
  </xdr:twoCellAnchor>
  <xdr:twoCellAnchor editAs="oneCell">
    <xdr:from>
      <xdr:col>5</xdr:col>
      <xdr:colOff>276188</xdr:colOff>
      <xdr:row>51</xdr:row>
      <xdr:rowOff>28575</xdr:rowOff>
    </xdr:from>
    <xdr:to>
      <xdr:col>12</xdr:col>
      <xdr:colOff>809589</xdr:colOff>
      <xdr:row>75</xdr:row>
      <xdr:rowOff>120015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3695913F-E0E3-4722-F2F1-713EF20FD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688" y="12030075"/>
          <a:ext cx="7200901" cy="4663440"/>
        </a:xfrm>
        <a:prstGeom prst="rect">
          <a:avLst/>
        </a:prstGeom>
      </xdr:spPr>
    </xdr:pic>
    <xdr:clientData/>
  </xdr:twoCellAnchor>
  <xdr:twoCellAnchor editAs="oneCell">
    <xdr:from>
      <xdr:col>51</xdr:col>
      <xdr:colOff>487821</xdr:colOff>
      <xdr:row>50</xdr:row>
      <xdr:rowOff>4119</xdr:rowOff>
    </xdr:from>
    <xdr:to>
      <xdr:col>64</xdr:col>
      <xdr:colOff>249696</xdr:colOff>
      <xdr:row>74</xdr:row>
      <xdr:rowOff>95559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9F2AEBE4-61D2-6419-0FEE-2242CC977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59321" y="11815119"/>
          <a:ext cx="7191375" cy="4663440"/>
        </a:xfrm>
        <a:prstGeom prst="rect">
          <a:avLst/>
        </a:prstGeom>
      </xdr:spPr>
    </xdr:pic>
    <xdr:clientData/>
  </xdr:twoCellAnchor>
  <xdr:twoCellAnchor editAs="oneCell">
    <xdr:from>
      <xdr:col>0</xdr:col>
      <xdr:colOff>57074</xdr:colOff>
      <xdr:row>50</xdr:row>
      <xdr:rowOff>185437</xdr:rowOff>
    </xdr:from>
    <xdr:to>
      <xdr:col>5</xdr:col>
      <xdr:colOff>161848</xdr:colOff>
      <xdr:row>75</xdr:row>
      <xdr:rowOff>86377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E44CF241-235B-F8F8-80B0-40716671B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74" y="11996437"/>
          <a:ext cx="7153274" cy="4663440"/>
        </a:xfrm>
        <a:prstGeom prst="rect">
          <a:avLst/>
        </a:prstGeom>
      </xdr:spPr>
    </xdr:pic>
    <xdr:clientData/>
  </xdr:twoCellAnchor>
  <xdr:twoCellAnchor editAs="oneCell">
    <xdr:from>
      <xdr:col>39</xdr:col>
      <xdr:colOff>2286</xdr:colOff>
      <xdr:row>50</xdr:row>
      <xdr:rowOff>71334</xdr:rowOff>
    </xdr:from>
    <xdr:to>
      <xdr:col>51</xdr:col>
      <xdr:colOff>345185</xdr:colOff>
      <xdr:row>74</xdr:row>
      <xdr:rowOff>162774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8B6DCA27-7718-F66C-03BC-BAD3B74C2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5786" y="11882334"/>
          <a:ext cx="7200899" cy="4663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467589</xdr:colOff>
      <xdr:row>1</xdr:row>
      <xdr:rowOff>45459</xdr:rowOff>
    </xdr:from>
    <xdr:to>
      <xdr:col>29</xdr:col>
      <xdr:colOff>142874</xdr:colOff>
      <xdr:row>30</xdr:row>
      <xdr:rowOff>188333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E1DBB08-B7A1-4FE3-90D0-15F740A7D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428267</xdr:colOff>
      <xdr:row>55</xdr:row>
      <xdr:rowOff>115628</xdr:rowOff>
    </xdr:from>
    <xdr:to>
      <xdr:col>15</xdr:col>
      <xdr:colOff>1427018</xdr:colOff>
      <xdr:row>86</xdr:row>
      <xdr:rowOff>69274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BCEF48-1AFD-4A08-A631-AA95F59F4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504825</xdr:colOff>
      <xdr:row>24</xdr:row>
      <xdr:rowOff>38101</xdr:rowOff>
    </xdr:from>
    <xdr:to>
      <xdr:col>15</xdr:col>
      <xdr:colOff>472749</xdr:colOff>
      <xdr:row>52</xdr:row>
      <xdr:rowOff>95251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204A91B9-8F5A-DAC1-A439-C5B625402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4425" y="4838701"/>
          <a:ext cx="10940724" cy="5391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136072</xdr:colOff>
      <xdr:row>25</xdr:row>
      <xdr:rowOff>108857</xdr:rowOff>
    </xdr:from>
    <xdr:to>
      <xdr:col>16</xdr:col>
      <xdr:colOff>217714</xdr:colOff>
      <xdr:row>49</xdr:row>
      <xdr:rowOff>27214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045E64-1671-CC25-6BEA-981219BD8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68034</xdr:colOff>
      <xdr:row>20</xdr:row>
      <xdr:rowOff>0</xdr:rowOff>
    </xdr:from>
    <xdr:to>
      <xdr:col>16</xdr:col>
      <xdr:colOff>312963</xdr:colOff>
      <xdr:row>51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5217B03-6081-FABC-0B5B-70D2DA65A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233547</xdr:colOff>
      <xdr:row>19</xdr:row>
      <xdr:rowOff>139043</xdr:rowOff>
    </xdr:from>
    <xdr:to>
      <xdr:col>18</xdr:col>
      <xdr:colOff>425037</xdr:colOff>
      <xdr:row>62</xdr:row>
      <xdr:rowOff>52450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0B2AC24-7C3A-402A-B6EF-33D35D50D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C1965-B35C-4CAF-B90C-84616070B9CC}" name="Tabela1" displayName="Tabela1" ref="A3:S19" totalsRowShown="0" headerRowDxfId="77" dataDxfId="76">
  <autoFilter ref="A3:S19" xr:uid="{F7EC1965-B35C-4CAF-B90C-84616070B9CC}"/>
  <tableColumns count="19">
    <tableColumn id="1" xr3:uid="{BC62A3BF-FFB1-490C-AEFA-DA7081F3B115}" name="Molecule" dataDxfId="75"/>
    <tableColumn id="2" xr3:uid="{224745CF-EF98-4361-AFFA-5B9ABC7957BA}" name="Total |Q2| (ring atoms)" dataDxfId="74"/>
    <tableColumn id="3" xr3:uid="{219B0EE6-8C40-4F9E-B946-8272CACF691E}" name="Total Qzz (ring atoms)" dataDxfId="73"/>
    <tableColumn id="4" xr3:uid="{1A735CF0-AB13-4F62-A8D2-DC19ADD1CE82}" name="|Q2| origin" dataDxfId="72"/>
    <tableColumn id="5" xr3:uid="{63BFB371-60E6-401B-BB2E-4711566F25D0}" name="Qzz origin" dataDxfId="71"/>
    <tableColumn id="6" xr3:uid="{2DB83F76-175E-4961-A46F-FE85025184DB}" name="|Q2|(2)" dataDxfId="70"/>
    <tableColumn id="7" xr3:uid="{07114522-5D38-4FF9-A5DE-DDB850D6D20C}" name="Q2(2)zz" dataDxfId="69"/>
    <tableColumn id="8" xr3:uid="{43E052FC-AAAF-4104-B060-A1BABEEED76F}" name="|Q2|(1)" dataDxfId="68"/>
    <tableColumn id="9" xr3:uid="{A450BE82-BF9A-4A9F-8357-3D3C819B0551}" name="Q2(1)zz" dataDxfId="67"/>
    <tableColumn id="10" xr3:uid="{F38FEFFA-F94A-4C2D-BCB1-B281631851D9}" name="|Q2|(ao)" dataDxfId="66"/>
    <tableColumn id="11" xr3:uid="{A3520C65-10AA-4A37-84F8-CEC60C1A3375}" name="Q2(ao)zz" dataDxfId="65"/>
    <tableColumn id="12" xr3:uid="{14DA2275-4682-4CC8-B83F-31EC15CEB2E1}" name="|Q2|(0)" dataDxfId="64"/>
    <tableColumn id="13" xr3:uid="{28C9C8E9-C2DB-45E7-9AD5-E3FBF36214DC}" name="Q2(0)zz" dataDxfId="63"/>
    <tableColumn id="14" xr3:uid="{4CB9FEFD-90AD-49BC-B020-81907B158191}" name="|Q2|(-a0)" dataDxfId="62"/>
    <tableColumn id="15" xr3:uid="{AB014158-42D2-4CD3-8F98-3BBFED892D73}" name="Q2(-a0)zz" dataDxfId="61"/>
    <tableColumn id="16" xr3:uid="{51C1C8D5-9608-43DE-82C0-3940214E23F9}" name="|Q2|(-1)" dataDxfId="60"/>
    <tableColumn id="17" xr3:uid="{D4E071F3-DF02-4BFD-8821-041C77C3CAAE}" name="Q2(-1)zz" dataDxfId="59"/>
    <tableColumn id="18" xr3:uid="{C9429C76-780B-41F2-BEF0-19DD07BC9849}" name="|Q2|(-2)" dataDxfId="58"/>
    <tableColumn id="19" xr3:uid="{A540102E-A537-4CCA-92E8-35A51D9A4506}" name="Q2(-2)zz" dataDxfId="57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FD25E0-3896-4533-B842-6B37F1C4E17E}" name="Tabela2" displayName="Tabela2" ref="A24:S40" totalsRowShown="0" headerRowDxfId="56" dataDxfId="55">
  <autoFilter ref="A24:S40" xr:uid="{09FD25E0-3896-4533-B842-6B37F1C4E17E}"/>
  <tableColumns count="19">
    <tableColumn id="1" xr3:uid="{180DF69D-3BB0-42EB-8470-318BD617BC9F}" name="Molecule" dataDxfId="54"/>
    <tableColumn id="2" xr3:uid="{07D0FF76-447C-4E29-8F8F-9C3E3C5A652E}" name="Total |Q2| (ring atoms)" dataDxfId="53"/>
    <tableColumn id="3" xr3:uid="{776BE397-02B6-40B7-95C6-944EACE06391}" name="Total Qzz (ring atoms)" dataDxfId="52"/>
    <tableColumn id="4" xr3:uid="{E3545D3D-6009-4646-8B12-469BD8EF5574}" name="|Q2| origin" dataDxfId="51"/>
    <tableColumn id="5" xr3:uid="{803C1683-C842-4D72-9BB9-9BBC54863662}" name="Qzz origin" dataDxfId="50"/>
    <tableColumn id="6" xr3:uid="{5BDB0385-9822-4768-9183-265D073945E8}" name="|Q2|(2)" dataDxfId="49"/>
    <tableColumn id="7" xr3:uid="{1371B62F-C63A-496D-8666-8408CFD9C6E9}" name="Q2(2)zz" dataDxfId="48"/>
    <tableColumn id="8" xr3:uid="{CFA53278-D3D8-450C-9F18-B473A190911E}" name="|Q2|(1)" dataDxfId="47"/>
    <tableColumn id="9" xr3:uid="{E58B7C7C-6F19-4EEF-9B5C-541BD4883172}" name="Q2(1)zz" dataDxfId="46"/>
    <tableColumn id="10" xr3:uid="{BDFF90F8-2FC9-4368-840C-B2EE3F3F8BDD}" name="|Q2|(ao)" dataDxfId="45"/>
    <tableColumn id="11" xr3:uid="{DE9F63A3-53F2-45F3-ACE9-1D211F337AF0}" name="Q2(ao)zz" dataDxfId="44"/>
    <tableColumn id="12" xr3:uid="{4D7EA3AC-8E58-4F62-84E9-DC22E2C56BA0}" name="|Q2|(0)" dataDxfId="43"/>
    <tableColumn id="13" xr3:uid="{519F842A-DAD6-40CA-82CD-50A9AC5D10F8}" name="Q2(0)zz" dataDxfId="42"/>
    <tableColumn id="14" xr3:uid="{64144F1F-2E55-4B79-9B02-E4C8F3821E2E}" name="|Q2|(-a0)" dataDxfId="41"/>
    <tableColumn id="15" xr3:uid="{F190B0CC-984A-4AB2-938F-74555DC2433D}" name="Q2(-a0)zz" dataDxfId="40"/>
    <tableColumn id="16" xr3:uid="{02A82A17-5DF2-474B-A8CF-5AA5B60D112C}" name="|Q2|(-1)" dataDxfId="39"/>
    <tableColumn id="17" xr3:uid="{D1B82C46-7B48-47F2-B0FB-5D0145F8F6B0}" name="Q2(-1)zz" dataDxfId="38"/>
    <tableColumn id="18" xr3:uid="{269AA064-A5A8-4300-98C5-3F3C787DCDE1}" name="|Q2|(-2)" dataDxfId="37"/>
    <tableColumn id="19" xr3:uid="{5E137926-93F0-494A-9FE6-2DD16FD11E42}" name="Q2(-2)zz" dataDxfId="36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B01C45-A341-4CC4-A9E5-E47F04C8DF7A}" name="Tabela9" displayName="Tabela9" ref="A2:G18" totalsRowShown="0">
  <autoFilter ref="A2:G18" xr:uid="{06B01C45-A341-4CC4-A9E5-E47F04C8DF7A}"/>
  <sortState xmlns:xlrd2="http://schemas.microsoft.com/office/spreadsheetml/2017/richdata2" ref="A3:G18">
    <sortCondition descending="1" ref="G2:G18"/>
  </sortState>
  <tableColumns count="7">
    <tableColumn id="1" xr3:uid="{A773DD16-4F4F-4FC2-8BCB-EE2C202F45E4}" name="Molecule"/>
    <tableColumn id="2" xr3:uid="{3A7A1438-E427-4A41-8100-3BAAD265B402}" name="Total |Q2| (ring atoms)" dataDxfId="371"/>
    <tableColumn id="3" xr3:uid="{A46F8749-EAF5-4C11-9E3C-F93640F38B05}" name="Total Qzz (ring atoms)" dataDxfId="370"/>
    <tableColumn id="4" xr3:uid="{77016AEE-1536-4FBD-99A7-B6235A90D049}" name="|Q2| origin" dataDxfId="369"/>
    <tableColumn id="5" xr3:uid="{F33F2F2F-765C-4863-9292-0BEDF51DC569}" name="Qzz origin" dataDxfId="368"/>
    <tableColumn id="6" xr3:uid="{9C276A46-05E7-4DC4-B476-FFA9B94D4F11}" name="|Q2|(1)" dataDxfId="367"/>
    <tableColumn id="7" xr3:uid="{956A0961-02AF-4039-B4C8-3EDBEAEBD146}" name="Q2(1)zz" dataDxfId="36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E20DFC6-1760-495F-9535-6D198CACCC0B}" name="Tabela10" displayName="Tabela10" ref="J2:R18" totalsRowShown="0">
  <autoFilter ref="J2:R18" xr:uid="{9E20DFC6-1760-495F-9535-6D198CACCC0B}"/>
  <sortState xmlns:xlrd2="http://schemas.microsoft.com/office/spreadsheetml/2017/richdata2" ref="J3:R18">
    <sortCondition descending="1" ref="P2:P18"/>
  </sortState>
  <tableColumns count="9">
    <tableColumn id="1" xr3:uid="{74B61D2D-78F6-43B9-987E-69C460642905}" name="Molecule" dataDxfId="365"/>
    <tableColumn id="2" xr3:uid="{A4679367-A48D-4A83-8112-D9B15A03EC37}" name="Total |Q2| (ring atoms)"/>
    <tableColumn id="3" xr3:uid="{0242B1E5-7C7E-4DDE-BCBD-B6BB04B60E36}" name="Total Qzz (ring atoms)"/>
    <tableColumn id="4" xr3:uid="{BF0312BA-3E13-4CA6-AAE9-906F8DC7D75B}" name="|Q2| origin"/>
    <tableColumn id="5" xr3:uid="{E354D211-DD47-4A5A-A086-48ABB8882D7B}" name="Qzz origin"/>
    <tableColumn id="6" xr3:uid="{0B47196A-ADEC-4544-B7C6-471B14A72809}" name="|Q2|(1)"/>
    <tableColumn id="7" xr3:uid="{48080042-38A6-4911-9642-EF63EB2088AC}" name="Q2(1)zz"/>
    <tableColumn id="8" xr3:uid="{FE3B7FEC-164A-4651-A9B8-F5CF0669E135}" name="|Q2|(-1)"/>
    <tableColumn id="9" xr3:uid="{0CE8EC10-2CEF-44B0-8BCF-55DC6109661C}" name="Q2(-1)zz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041FC59-6692-452C-AF0A-EC1D0FE3A1D7}" name="Tabela11" displayName="Tabela11" ref="C3:T18" headerRowCount="0" totalsRowShown="0" headerRowDxfId="364" dataDxfId="363">
  <tableColumns count="18">
    <tableColumn id="1" xr3:uid="{BA130BA0-15F4-422B-ABF8-171122D02E18}" name="HOMA" dataDxfId="362"/>
    <tableColumn id="2" xr3:uid="{E265EF3C-C1C1-41E7-9753-71AAF0363BBA}" name="EN" dataDxfId="361"/>
    <tableColumn id="3" xr3:uid="{BB583CD2-610E-4DC8-B59F-8910D3947B91}" name="GEO" dataDxfId="360"/>
    <tableColumn id="4" xr3:uid="{002DC702-170B-45C0-B0C9-8BC0C5767B87}" name="AI(vib)" dataDxfId="359"/>
    <tableColumn id="5" xr3:uid="{BCEB7A98-0073-41DE-8AC9-959310E067B6}" name="WS" dataDxfId="358"/>
    <tableColumn id="6" xr3:uid="{287D2245-A917-4962-A9E1-B7982D8EFBC6}" name="ALT" dataDxfId="357"/>
    <tableColumn id="10" xr3:uid="{10169FAF-AD28-4264-B633-AF95BA2E1A79}" name="Coluna1" dataDxfId="356"/>
    <tableColumn id="11" xr3:uid="{64F323E8-FCF6-46DC-B8EB-33C22432100A}" name="Coluna2" dataDxfId="355"/>
    <tableColumn id="13" xr3:uid="{A5B3A09C-030B-4A55-879C-3B1D0EACCD4B}" name="Coluna4" dataDxfId="354"/>
    <tableColumn id="12" xr3:uid="{75681F20-51DE-4934-A131-65139B96B57E}" name="Coluna3" dataDxfId="353"/>
    <tableColumn id="14" xr3:uid="{44E572F9-6BB3-4E8A-A5FA-96E43E43AD63}" name="Coluna5" dataDxfId="352"/>
    <tableColumn id="15" xr3:uid="{E0856C47-1921-4854-BF35-9E5C9D763E77}" name="Coluna6" dataDxfId="351"/>
    <tableColumn id="7" xr3:uid="{AC355A6C-9F73-44FE-9C18-00E60A7DF1AC}" name="NICS(0)" dataDxfId="350"/>
    <tableColumn id="18" xr3:uid="{96C07AB6-4F2D-450C-BBF0-6B71954025C1}" name="Coluna9" dataDxfId="349">
      <calculatedColumnFormula>Tabela11[[#This Row],[NICS(0)]]/$O$3</calculatedColumnFormula>
    </tableColumn>
    <tableColumn id="8" xr3:uid="{69085CF1-849E-4859-BEAE-372F6A1A1928}" name="NICS(1)" dataDxfId="348"/>
    <tableColumn id="17" xr3:uid="{3764EBD2-6575-46AB-A96E-3974A57B13BC}" name="Coluna8" dataDxfId="347">
      <calculatedColumnFormula>Tabela11[[#This Row],[NICS(1)]]/$Q$3</calculatedColumnFormula>
    </tableColumn>
    <tableColumn id="16" xr3:uid="{32303E5A-8161-4D0F-9862-43B947B47DDA}" name="Coluna7" dataDxfId="346"/>
    <tableColumn id="9" xr3:uid="{57BA3565-F2B4-4754-81F9-5C91A0A9C83D}" name="NICS(1)zz" dataDxfId="345">
      <calculatedColumnFormula>Tabela11[[#This Row],[Coluna7]]/$S$3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43437BA-B317-4BEF-9169-68896FBCC5AA}" name="Tabela12" displayName="Tabela12" ref="B3:B18" headerRowCount="0" totalsRowShown="0" headerRowDxfId="344" dataDxfId="343">
  <tableColumns count="1">
    <tableColumn id="1" xr3:uid="{74AF86AD-C2C8-4478-91AE-0C6EEB006DAF}" name="X" dataDxfId="342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1263D1B-9DCB-479B-B7C8-711AE27A72BE}" name="Tabela1118" displayName="Tabela1118" ref="Z3:AQ18" headerRowCount="0" totalsRowShown="0" headerRowDxfId="341" dataDxfId="340">
  <tableColumns count="18">
    <tableColumn id="1" xr3:uid="{A332D02E-578C-4C2C-9957-32A34C342200}" name="HOMA" dataDxfId="339"/>
    <tableColumn id="2" xr3:uid="{95738AEC-0AA7-4EB4-BE31-19A0AC9517EA}" name="EN" dataDxfId="338"/>
    <tableColumn id="3" xr3:uid="{A275819B-A42E-45CB-9E6E-2C7B7F1F1D41}" name="GEO" dataDxfId="337"/>
    <tableColumn id="4" xr3:uid="{40018471-AF4C-407E-A8FA-9D0BDFC425B9}" name="AI(vib)" dataDxfId="336"/>
    <tableColumn id="5" xr3:uid="{409510C6-37B9-47FE-AC65-FC511FD5453A}" name="WS" dataDxfId="335"/>
    <tableColumn id="6" xr3:uid="{E2E71D62-DCA6-411D-B21B-197DC35AFAD9}" name="ALT" dataDxfId="334"/>
    <tableColumn id="10" xr3:uid="{B75FDD5B-F057-4790-B1D1-A1506C5F7744}" name="Coluna1" dataDxfId="333"/>
    <tableColumn id="11" xr3:uid="{64A39226-9AC2-4A1D-B3E1-6028DE45ABA0}" name="Coluna2" dataDxfId="332"/>
    <tableColumn id="13" xr3:uid="{CBE878C8-8824-4D21-86ED-00A9D61C4DD1}" name="Coluna4" dataDxfId="331"/>
    <tableColumn id="12" xr3:uid="{884B811C-4FFB-49DD-8033-9011B1031806}" name="Coluna3" dataDxfId="330"/>
    <tableColumn id="14" xr3:uid="{3984D6B1-8D97-47C1-9CA3-34C286EC9F57}" name="Coluna5" dataDxfId="329"/>
    <tableColumn id="15" xr3:uid="{107AAE77-2F53-40B8-B790-7AA42C7D7457}" name="Coluna6" dataDxfId="328"/>
    <tableColumn id="7" xr3:uid="{64B22AF9-DA77-412E-AD53-B7E9D8AAE416}" name="NICS(0)" dataDxfId="327"/>
    <tableColumn id="18" xr3:uid="{A5E6762A-AA69-4927-A977-007A73D82FC7}" name="Coluna9" dataDxfId="326">
      <calculatedColumnFormula>Tabela1118[[#This Row],[NICS(0)]]/$O$3</calculatedColumnFormula>
    </tableColumn>
    <tableColumn id="8" xr3:uid="{312C9127-5DF7-4CEB-8873-5FF636E6D65E}" name="NICS(1)" dataDxfId="325"/>
    <tableColumn id="17" xr3:uid="{213B53ED-01D5-4291-9424-B9661AB3A308}" name="Coluna8" dataDxfId="324">
      <calculatedColumnFormula>Tabela1118[[#This Row],[NICS(1)]]/$Q$3</calculatedColumnFormula>
    </tableColumn>
    <tableColumn id="16" xr3:uid="{F4695C81-8B22-4414-B72E-57CE49AA658F}" name="Coluna7" dataDxfId="323"/>
    <tableColumn id="9" xr3:uid="{8281AEBC-98BB-4F23-A35A-02B2C18A6976}" name="NICS(1)zz" dataDxfId="322">
      <calculatedColumnFormula>Tabela1118[[#This Row],[Coluna7]]/$S$3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F3671F2-5C29-400E-AD44-2B0AE98E3CA0}" name="Tabela1219" displayName="Tabela1219" ref="Y3:Y18" headerRowCount="0" totalsRowShown="0" headerRowDxfId="321" dataDxfId="320">
  <tableColumns count="1">
    <tableColumn id="1" xr3:uid="{D77F5C0E-FE29-43A1-B845-CA45E0E4F910}" name="X" dataDxfId="319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D2249DD6-042C-46A1-87B0-DA846648772A}" name="Tabela13172266" displayName="Tabela13172266" ref="L3:Q18" headerRowCount="0" totalsRowShown="0" headerRowDxfId="318" dataDxfId="316" headerRowBorderDxfId="317" tableBorderDxfId="315">
  <tableColumns count="6">
    <tableColumn id="1" xr3:uid="{A2CCF52E-17BF-40A8-983D-143A0C0646EA}" name="Total |Q2| (ring atoms)" headerRowDxfId="314" dataDxfId="313"/>
    <tableColumn id="2" xr3:uid="{9A578373-09CD-446B-A689-B2B76DAC395D}" name="Total Qzz (ring atoms)" headerRowDxfId="312" dataDxfId="311"/>
    <tableColumn id="3" xr3:uid="{0CBB5B69-5F8B-44D4-9A79-6545B7E019D2}" name="|Q2| origin" headerRowDxfId="310" dataDxfId="309"/>
    <tableColumn id="4" xr3:uid="{C2290A99-68C9-4C81-A22F-DDFA0CAEC3B6}" name="Qzz origin" headerRowDxfId="308" dataDxfId="307"/>
    <tableColumn id="5" xr3:uid="{7172467B-E497-450B-8017-05D22CA14B76}" name="|Q2|(1)" headerRowDxfId="306" dataDxfId="305"/>
    <tableColumn id="6" xr3:uid="{87C15BC2-2F84-43EC-93F7-E0E88934BAE7}" name="Q2(1)zz" headerRowDxfId="304" dataDxfId="303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4DC9A28E-89D5-4D02-8DDB-FDDD09517DAC}" name="Tabela12162167" displayName="Tabela12162167" ref="B3:B18" headerRowCount="0" totalsRowShown="0" headerRowDxfId="302" dataDxfId="301">
  <tableColumns count="1">
    <tableColumn id="1" xr3:uid="{630A9771-4D93-42AE-848D-1D43D1BADFAA}" name="X" dataDxfId="300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5197463B-0BCA-4256-819C-E01F5EF21AAE}" name="Tabela121621677388" displayName="Tabela121621677388" ref="U3:U18" headerRowCount="0" totalsRowShown="0" headerRowDxfId="299" dataDxfId="298">
  <tableColumns count="1">
    <tableColumn id="1" xr3:uid="{47CE08F2-DF4C-434A-952E-0F73859ABC0B}" name="X" dataDxfId="297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80B66413-DE10-4838-B6AE-79D0F5F3ECED}" name="Tabela12162167737489" displayName="Tabela12162167737489" ref="V3:V18" headerRowCount="0" totalsRowShown="0" headerRowDxfId="296" dataDxfId="295">
  <tableColumns count="1">
    <tableColumn id="1" xr3:uid="{79B195C4-4E61-40BA-B584-E112B9FDA51B}" name="X" dataDxfId="294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142F3E55-449B-4456-9D06-D79F26D9A482}" name="Tabela12162167737590" displayName="Tabela12162167737590" ref="Y3:Y18" headerRowCount="0" totalsRowShown="0" headerRowDxfId="293" dataDxfId="292">
  <tableColumns count="1">
    <tableColumn id="1" xr3:uid="{ADF5B3C6-2D86-4CF0-924C-40131886288F}" name="X" dataDxfId="291">
      <calculatedColumnFormula>-(SUM(U3:V3)/2)*27.2114</calculatedColumnFormula>
    </tableColumn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4F3E5CEA-D8B0-4457-B5FB-8B0C94C29CD8}" name="Tabela12162167737792" displayName="Tabela12162167737792" ref="AA3:AA18" headerRowCount="0" totalsRowShown="0" headerRowDxfId="290" dataDxfId="289">
  <tableColumns count="1">
    <tableColumn id="1" xr3:uid="{4DD33A20-482E-4B03-9BF4-2B003470B11A}" name="X" dataDxfId="288">
      <calculatedColumnFormula>(Tabela12162167737590[[#This Row],[X]]^2)/(2*Z3)</calculatedColumnFormula>
    </tableColumn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D0D367E8-F455-42FB-96C8-C4F9FF47E07E}" name="Tabela121621677393" displayName="Tabela121621677393" ref="T3:T18" headerRowCount="0" totalsRowShown="0" headerRowDxfId="287" dataDxfId="286">
  <tableColumns count="1">
    <tableColumn id="1" xr3:uid="{04C36E0E-E9D0-45A6-BCC2-367585231688}" name="X" dataDxfId="285"/>
  </tableColumns>
  <tableStyleInfo name="TableStyleMedium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5F53C94C-E89C-416C-B3DD-A08AD90E60E5}" name="Tabela12162167737691" displayName="Tabela12162167737691" ref="Z3:Z18" headerRowCount="0" totalsRowShown="0" headerRowDxfId="284" dataDxfId="283">
  <tableColumns count="1">
    <tableColumn id="1" xr3:uid="{95CB56F1-7886-4D6F-84AA-D5C53FDBE7B3}" name="X" dataDxfId="282">
      <calculatedColumnFormula>(Tabela12162167738894[[#This Row],[X]]-Tabela1216216773748995[[#This Row],[X]])/2</calculatedColumnFormula>
    </tableColumn>
  </tableColumns>
  <tableStyleInfo name="TableStyleMedium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498ADC0F-C6FF-4E71-B25E-552B5FFAEBA7}" name="Tabela12162167738894" displayName="Tabela12162167738894" ref="W3:W18" headerRowCount="0" totalsRowShown="0" headerRowDxfId="281" dataDxfId="280">
  <tableColumns count="1">
    <tableColumn id="1" xr3:uid="{43241288-4077-4183-B517-0659EC681FD6}" name="X" dataDxfId="279">
      <calculatedColumnFormula>-Tabela121621677388[[#This Row],[X]]</calculatedColumnFormula>
    </tableColumn>
  </tableColumns>
  <tableStyleInfo name="TableStyleMedium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64778A27-E078-49F7-82CF-1A31E3639476}" name="Tabela1216216773748995" displayName="Tabela1216216773748995" ref="X3:X18" headerRowCount="0" totalsRowShown="0" headerRowDxfId="278" dataDxfId="277">
  <tableColumns count="1">
    <tableColumn id="1" xr3:uid="{32772E6F-4987-4FA7-B6BD-E40DAE5155C6}" name="X" dataDxfId="276">
      <calculatedColumnFormula>-Tabela12162167737489[[#This Row],[X]]</calculatedColumnFormula>
    </tableColumn>
  </tableColumns>
  <tableStyleInfo name="TableStyleMedium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F41596EB-F129-4967-9D3F-C4B20153BF64}" name="Tabela1196" displayName="Tabela1196" ref="C3:K18" headerRowCount="0" totalsRowShown="0" headerRowDxfId="275" dataDxfId="274">
  <tableColumns count="9">
    <tableColumn id="1" xr3:uid="{B50E68B7-3B02-4D18-AD57-83DE0AA46A9C}" name="HOMA" dataDxfId="273"/>
    <tableColumn id="4" xr3:uid="{88A7ACDE-5C9D-4188-BB78-AB7AA58A79B9}" name="AI(vib)" dataDxfId="272"/>
    <tableColumn id="12" xr3:uid="{14A3C6D5-BC1F-4960-AD94-2FBE0C5B8A10}" name="Coluna3" dataDxfId="271"/>
    <tableColumn id="14" xr3:uid="{CD5CDB59-DB36-4F99-91DF-754EAD726ADD}" name="Coluna5" dataDxfId="270"/>
    <tableColumn id="15" xr3:uid="{E9BC6083-A814-404C-BE8E-E5702CBB2FEA}" name="Coluna6" dataDxfId="269"/>
    <tableColumn id="7" xr3:uid="{127CE3DF-F51D-4BD1-ACAA-307AF1E1439E}" name="NICS(0)" dataDxfId="268"/>
    <tableColumn id="18" xr3:uid="{8605CC5F-8EB7-4878-A04F-0CDCC9557F6E}" name="Coluna9" dataDxfId="267"/>
    <tableColumn id="8" xr3:uid="{CD0D87DF-40BA-40B6-8C0B-7D103E3BA22C}" name="NICS(1)" dataDxfId="266"/>
    <tableColumn id="9" xr3:uid="{51CC4048-3AEC-4445-B706-DB9487EE65CA}" name="NICS(1)zz" dataDxfId="265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0F64AE5-81A0-4B7A-808A-A20A276D68A6}" name="Tabela11152625" displayName="Tabela11152625" ref="C3:D18" headerRowCount="0" totalsRowShown="0" headerRowDxfId="264" dataDxfId="263">
  <tableColumns count="2">
    <tableColumn id="14" xr3:uid="{A65AA280-4711-442E-80AA-9B1EC7AB428C}" name="Coluna5" dataDxfId="262"/>
    <tableColumn id="1" xr3:uid="{23CF590F-1DB3-40FF-9231-4EE3254C717E}" name="Coluna1" dataDxfId="261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CB451871-B7A2-45D1-B6D6-DA9E8D444A00}" name="Tabela12162744" displayName="Tabela12162744" ref="B3:B18" headerRowCount="0" totalsRowShown="0" headerRowDxfId="260" dataDxfId="259">
  <tableColumns count="1">
    <tableColumn id="1" xr3:uid="{393EEC85-41A8-4965-997C-871CD94360B7}" name="X" dataDxfId="258"/>
  </tableColumns>
  <tableStyleInfo name="TableStyleMedium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8AE74CF-C17C-42DA-8A27-9E5F8D0A47E3}" name="Tabela1317222946" displayName="Tabela1317222946" ref="E3:G18" headerRowCount="0" totalsRowShown="0" headerRowDxfId="257" dataDxfId="255" headerRowBorderDxfId="256" tableBorderDxfId="254">
  <tableColumns count="3">
    <tableColumn id="1" xr3:uid="{A0D49220-8E0F-403A-989B-009CC10E52C3}" name="Total |Q2| (ring atoms)" headerRowDxfId="253" dataDxfId="252"/>
    <tableColumn id="2" xr3:uid="{2C2CDDB6-6293-4308-AF40-F3830466B805}" name="Total Qzz (ring atoms)" headerRowDxfId="251" dataDxfId="250"/>
    <tableColumn id="6" xr3:uid="{84DF16DA-378C-4B41-B92D-E90978C823F1}" name="Q2(1)zz" headerRowDxfId="249" dataDxfId="248"/>
  </tableColumns>
  <tableStyleInfo name="TableStyleMedium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5E611CB4-BB3A-45B4-8652-9D46B07C1F8A}" name="Tabela1115263552" displayName="Tabela1115263552" ref="C3:C18" headerRowCount="0" totalsRowShown="0" headerRowDxfId="247" dataDxfId="246">
  <tableColumns count="1">
    <tableColumn id="1" xr3:uid="{E93260F9-A0E6-4EB3-B8B7-3FE15E457FF4}" name="Coluna1" dataDxfId="245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33E7D84C-DC60-4CFC-B933-0FEBB1B1B929}" name="Tabela1216273653" displayName="Tabela1216273653" ref="B3:B18" headerRowCount="0" totalsRowShown="0" headerRowDxfId="244" dataDxfId="243">
  <tableColumns count="1">
    <tableColumn id="1" xr3:uid="{C2EB2DB3-D60C-4FB4-9D25-E4BDA9F6AF01}" name="X" dataDxfId="242"/>
  </tableColumns>
  <tableStyleInfo name="TableStyleMedium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738FA735-E3FD-4E89-BAA6-E5F599B8EC9B}" name="Tabela131722293855" displayName="Tabela131722293855" ref="D3:E18" headerRowCount="0" totalsRowShown="0" headerRowDxfId="241" dataDxfId="239" headerRowBorderDxfId="240" tableBorderDxfId="238">
  <tableColumns count="2">
    <tableColumn id="2" xr3:uid="{F3CAF9A4-62DF-4074-9E58-CEDD91FD7B90}" name="Total Qzz (ring atoms)" headerRowDxfId="237" dataDxfId="236"/>
    <tableColumn id="6" xr3:uid="{51A2FBB1-12EB-4643-BEF3-B743A808B79F}" name="Q2(1)zz" headerRowDxfId="235" dataDxfId="234"/>
  </tableColumns>
  <tableStyleInfo name="TableStyleMedium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4BF0098-ABEE-49AD-91EF-B07D6B254472}" name="Tabela111526" displayName="Tabela111526" ref="D3:G18" headerRowCount="0" totalsRowShown="0" headerRowDxfId="233" dataDxfId="232">
  <tableColumns count="4">
    <tableColumn id="14" xr3:uid="{BFEC4F62-FC96-44AC-8105-A92799F2F258}" name="Coluna5" dataDxfId="231"/>
    <tableColumn id="1" xr3:uid="{C3CC1F8D-26D8-455A-BECB-4AFDC3784D04}" name="Coluna1" dataDxfId="230">
      <calculatedColumnFormula>Tabela111526[[#This Row],[Coluna5]]/$D$3</calculatedColumnFormula>
    </tableColumn>
    <tableColumn id="2" xr3:uid="{A052C31C-B0FF-42DE-B6D0-184106A0D32E}" name="Coluna2" dataDxfId="229"/>
    <tableColumn id="15" xr3:uid="{0A6BD5CE-71AF-4596-994E-BB5837D49A6A}" name="Coluna6" dataDxfId="228">
      <calculatedColumnFormula>Tabela111526[[#This Row],[Coluna2]]/$F$3</calculatedColumnFormula>
    </tableColumn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889C175-C4F0-4BA6-A522-1EC4019572D3}" name="Tabela121627" displayName="Tabela121627" ref="B3:B18" headerRowCount="0" totalsRowShown="0" headerRowDxfId="227" dataDxfId="226">
  <tableColumns count="1">
    <tableColumn id="1" xr3:uid="{69E203E2-EC34-4A4C-A0D7-6F9A095AFE5A}" name="X" dataDxfId="225"/>
  </tableColumns>
  <tableStyleInfo name="TableStyleMedium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0C488C4-93F1-41C2-825F-5D772EED8A3A}" name="Tabela131728" displayName="Tabela131728" ref="H3:H18" headerRowCount="0" totalsRowShown="0" headerRowDxfId="224" dataDxfId="222" headerRowBorderDxfId="223" tableBorderDxfId="221">
  <tableColumns count="1">
    <tableColumn id="6" xr3:uid="{EA66B063-AB95-4CB2-A38B-A94FB489B9D5}" name="Q2(1)zz" headerRowDxfId="220" dataDxfId="219"/>
  </tableColumns>
  <tableStyleInfo name="TableStyleMedium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44A5F51-A520-46F2-9462-295DDF9D531D}" name="Tabela13172229" displayName="Tabela13172229" ref="L3:Q18" headerRowCount="0" totalsRowShown="0" headerRowDxfId="218" dataDxfId="216" headerRowBorderDxfId="217" tableBorderDxfId="215">
  <tableColumns count="6">
    <tableColumn id="1" xr3:uid="{3746F43E-BD38-4134-8E20-45A1A2319E9F}" name="Total |Q2| (ring atoms)" headerRowDxfId="214" dataDxfId="213"/>
    <tableColumn id="2" xr3:uid="{E0D27F91-2A70-4A95-A2C4-AF8CDB623EA3}" name="Total Qzz (ring atoms)" headerRowDxfId="212" dataDxfId="211"/>
    <tableColumn id="3" xr3:uid="{2AB13216-609B-4D73-95A0-90D90B3538EC}" name="|Q2| origin" headerRowDxfId="210" dataDxfId="209"/>
    <tableColumn id="4" xr3:uid="{7C3B3BC0-D48C-4278-B682-EC9079D1A6A2}" name="Qzz origin" headerRowDxfId="208" dataDxfId="207"/>
    <tableColumn id="5" xr3:uid="{2FA1D211-D4E2-4A96-AD90-8D3414F5AB64}" name="|Q2|(1)" headerRowDxfId="206" dataDxfId="205"/>
    <tableColumn id="6" xr3:uid="{B606DFDB-4A5C-4627-9A19-1AA7DE2AB76F}" name="Q2(1)zz" headerRowDxfId="204" dataDxfId="203"/>
  </tableColumns>
  <tableStyleInfo name="TableStyleMedium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25A0A9A-D673-45C7-82C9-E1A38F7D1868}" name="Tabela12162130" displayName="Tabela12162130" ref="K3:K18" headerRowCount="0" totalsRowShown="0" headerRowDxfId="202" dataDxfId="201">
  <tableColumns count="1">
    <tableColumn id="1" xr3:uid="{18C8171A-1360-4167-97F3-18961D30AB79}" name="X" dataDxfId="200"/>
  </tableColumns>
  <tableStyleInfo name="TableStyleMedium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D9BE165-66E3-4817-B886-385E60E4C4B5}" name="Tabela11152635" displayName="Tabela11152635" ref="C3:E18" headerRowCount="0" totalsRowShown="0" headerRowDxfId="199" dataDxfId="198">
  <tableColumns count="3">
    <tableColumn id="1" xr3:uid="{2CF9D9F4-6B9C-41ED-84A2-F178F699AF4F}" name="Coluna1" dataDxfId="197"/>
    <tableColumn id="2" xr3:uid="{43C0BCFE-BFD9-435D-8B39-62081A451152}" name="Coluna2" dataDxfId="196"/>
    <tableColumn id="15" xr3:uid="{89D274FD-E7D4-4305-BA86-D4303B2554FA}" name="Coluna6" dataDxfId="195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5B4C857-8E3E-4B2D-9A58-F1CA9A87AB19}" name="Tabela12162736" displayName="Tabela12162736" ref="B3:B18" headerRowCount="0" totalsRowShown="0" headerRowDxfId="194" dataDxfId="193">
  <tableColumns count="1">
    <tableColumn id="1" xr3:uid="{D96D4EDD-2AEF-4EA1-88B7-94E2E53E64AF}" name="X" dataDxfId="192"/>
  </tableColumns>
  <tableStyleInfo name="TableStyleMedium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91669C8-BF38-46B0-AAD2-DF41ABA26C9E}" name="Tabela13172837" displayName="Tabela13172837" ref="F3:F18" headerRowCount="0" totalsRowShown="0" headerRowDxfId="191" dataDxfId="189" headerRowBorderDxfId="190" tableBorderDxfId="188">
  <tableColumns count="1">
    <tableColumn id="6" xr3:uid="{DA482A76-4112-4A72-B091-5A499B042CB0}" name="Q2(1)zz" headerRowDxfId="187" dataDxfId="186"/>
  </tableColumns>
  <tableStyleInfo name="TableStyleMedium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429501F3-120F-47D1-8077-82684E20EC10}" name="Tabela1317222938" displayName="Tabela1317222938" ref="J3:O18" headerRowCount="0" totalsRowShown="0" headerRowDxfId="185" dataDxfId="183" headerRowBorderDxfId="184" tableBorderDxfId="182">
  <tableColumns count="6">
    <tableColumn id="1" xr3:uid="{A27EB841-4ED7-4902-8F90-F3217BD72AE2}" name="Total |Q2| (ring atoms)" headerRowDxfId="181" dataDxfId="180"/>
    <tableColumn id="2" xr3:uid="{0C6C19FB-B67A-4548-8140-512A73D90D6E}" name="Total Qzz (ring atoms)" headerRowDxfId="179" dataDxfId="178"/>
    <tableColumn id="3" xr3:uid="{521F5F85-F696-4BE7-B558-AF9E6443F2C6}" name="|Q2| origin" headerRowDxfId="177" dataDxfId="176"/>
    <tableColumn id="4" xr3:uid="{C4E4E32F-4BA9-49C2-9198-7B4B4BB097AD}" name="Qzz origin" headerRowDxfId="175" dataDxfId="174"/>
    <tableColumn id="5" xr3:uid="{BF1C583C-A87B-4CB1-89D3-1CE6A52E3F78}" name="|Q2|(1)" headerRowDxfId="173" dataDxfId="172"/>
    <tableColumn id="6" xr3:uid="{04BCF5C6-2A0F-47FE-9F2E-8A1D420E0D23}" name="Q2(1)zz" headerRowDxfId="171" dataDxfId="170"/>
  </tableColumns>
  <tableStyleInfo name="TableStyleMedium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FDB46D08-ED0E-4955-9FDA-AA4D189FE9EC}" name="Tabela1216213039" displayName="Tabela1216213039" ref="I3:I18" headerRowCount="0" totalsRowShown="0" headerRowDxfId="169" dataDxfId="168">
  <tableColumns count="1">
    <tableColumn id="1" xr3:uid="{53ACD5F2-7767-4844-87FB-F9FA805DCCBB}" name="X" dataDxfId="167"/>
  </tableColumns>
  <tableStyleInfo name="TableStyleMedium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A98DD53-CC40-4C95-915B-13F6BFFEFC97}" name="Tabela1115" displayName="Tabela1115" ref="C3:M18" headerRowCount="0" totalsRowShown="0" headerRowDxfId="166" dataDxfId="165">
  <tableColumns count="11">
    <tableColumn id="1" xr3:uid="{79E0AA3B-EFEC-4EDA-BDCE-49F39FE71028}" name="HOMA" dataDxfId="164"/>
    <tableColumn id="4" xr3:uid="{28EA190A-DA54-4046-AD50-4DB66A15CEC7}" name="AI(vib)" dataDxfId="163"/>
    <tableColumn id="12" xr3:uid="{81841C96-31D0-4FC6-AF84-1F77E884DBEC}" name="Coluna3" dataDxfId="162"/>
    <tableColumn id="14" xr3:uid="{EE70CD87-AC4F-4A9B-AB1A-B699E249B184}" name="Coluna5" dataDxfId="161"/>
    <tableColumn id="15" xr3:uid="{1F72123D-0E80-4421-9D45-3F1925B6F543}" name="Coluna6" dataDxfId="160"/>
    <tableColumn id="7" xr3:uid="{DC9A4BE3-EF0F-475F-ACFF-AC99853AE26E}" name="NICS(0)" dataDxfId="159"/>
    <tableColumn id="18" xr3:uid="{F208E800-6D89-44FF-ABE0-1E1900833199}" name="Coluna9" dataDxfId="158">
      <calculatedColumnFormula>Tabela1115[[#This Row],[NICS(0)]]/$H$3</calculatedColumnFormula>
    </tableColumn>
    <tableColumn id="8" xr3:uid="{88650E68-B53E-4983-8AD6-F879D85B47CD}" name="NICS(1)" dataDxfId="157"/>
    <tableColumn id="17" xr3:uid="{64F066F6-4E8C-4AE7-ADDB-1640026BE9A7}" name="Coluna8" dataDxfId="156">
      <calculatedColumnFormula>Tabela1115[[#This Row],[NICS(1)]]/$J$3</calculatedColumnFormula>
    </tableColumn>
    <tableColumn id="16" xr3:uid="{B71233AC-40CD-4F31-9626-85577B831620}" name="Coluna7" dataDxfId="155"/>
    <tableColumn id="9" xr3:uid="{B3D7865B-082B-41D9-86DA-50C8F59418E5}" name="NICS(1)zz" dataDxfId="154">
      <calculatedColumnFormula>Tabela1115[[#This Row],[Coluna7]]/$L$3</calculatedColumnFormula>
    </tableColumn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5132702-00C4-4CB9-9388-8C9EC579A096}" name="Tabela1216" displayName="Tabela1216" ref="B3:B18" headerRowCount="0" totalsRowShown="0" headerRowDxfId="153" dataDxfId="152">
  <tableColumns count="1">
    <tableColumn id="1" xr3:uid="{02F87AC5-77CF-4C0C-B406-16C96052157B}" name="X" dataDxfId="151"/>
  </tableColumns>
  <tableStyleInfo name="TableStyleMedium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146753A-CB5D-4F7D-B24A-FAD7D4D4D425}" name="Tabela1317" displayName="Tabela1317" ref="N3:S18" headerRowCount="0" totalsRowShown="0" headerRowDxfId="150" dataDxfId="148" headerRowBorderDxfId="149" tableBorderDxfId="147">
  <tableColumns count="6">
    <tableColumn id="1" xr3:uid="{BCB36461-5118-4409-93B6-2AFE3D0850E2}" name="Total |Q2| (ring atoms)" headerRowDxfId="146" dataDxfId="145"/>
    <tableColumn id="2" xr3:uid="{6CD00CD3-2E89-4D35-B292-17A9F930D01C}" name="Total Qzz (ring atoms)" headerRowDxfId="144" dataDxfId="143"/>
    <tableColumn id="3" xr3:uid="{B08A1380-FDE4-4649-A142-F51B515B7D4F}" name="|Q2| origin" headerRowDxfId="142" dataDxfId="141"/>
    <tableColumn id="4" xr3:uid="{D3479D20-4099-44EA-8CFE-2610D18246AF}" name="Qzz origin" headerRowDxfId="140" dataDxfId="139"/>
    <tableColumn id="5" xr3:uid="{FAFBF77B-22CA-43E8-9D2B-CA0353C24889}" name="|Q2|(1)" headerRowDxfId="138" dataDxfId="137"/>
    <tableColumn id="6" xr3:uid="{C73A654F-4733-49EF-8479-0E27BD994451}" name="Q2(1)zz" headerRowDxfId="136" dataDxfId="135"/>
  </tableColumns>
  <tableStyleInfo name="TableStyleMedium6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0291AB4-EF8E-40D1-A5E6-615FF91A417C}" name="Tabela131722" displayName="Tabela131722" ref="W3:AB18" headerRowCount="0" totalsRowShown="0" headerRowDxfId="134" dataDxfId="132" headerRowBorderDxfId="133" tableBorderDxfId="131">
  <tableColumns count="6">
    <tableColumn id="1" xr3:uid="{48956081-451A-4BBF-98E5-FA4D2863965E}" name="Total |Q2| (ring atoms)" headerRowDxfId="130" dataDxfId="129"/>
    <tableColumn id="2" xr3:uid="{22800C3D-50C2-4EE2-BD5E-E539F2102854}" name="Total Qzz (ring atoms)" headerRowDxfId="128" dataDxfId="127"/>
    <tableColumn id="3" xr3:uid="{8A1868E9-CBA3-4195-80AB-97719294FF17}" name="|Q2| origin" headerRowDxfId="126" dataDxfId="125"/>
    <tableColumn id="4" xr3:uid="{6EF60D1C-9A61-4888-B2B5-286A36E32497}" name="Qzz origin" headerRowDxfId="124" dataDxfId="123"/>
    <tableColumn id="5" xr3:uid="{514AA93A-D323-473B-BB0C-4E9FD5BCB9CF}" name="|Q2|(1)" headerRowDxfId="122" dataDxfId="121"/>
    <tableColumn id="6" xr3:uid="{DBB71CDF-76AC-48E1-A01B-658F7A2772D8}" name="Q2(1)zz" headerRowDxfId="120" dataDxfId="119"/>
  </tableColumns>
  <tableStyleInfo name="TableStyleMedium6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1C86071-E0CF-482D-896A-DBB34A3B6A46}" name="Tabela121621" displayName="Tabela121621" ref="V3:V18" headerRowCount="0" totalsRowShown="0" headerRowDxfId="118" dataDxfId="117">
  <tableColumns count="1">
    <tableColumn id="1" xr3:uid="{B466D3FA-7137-4920-8948-B8E7644FD9DA}" name="X" dataDxfId="116"/>
  </tableColumns>
  <tableStyleInfo name="TableStyleMedium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FA9A316-BD28-4E31-AC9A-787FA128C7F7}" name="Tabela13172214" displayName="Tabela13172214" ref="AP3:AU18" headerRowCount="0" totalsRowShown="0" headerRowDxfId="115" dataDxfId="113" headerRowBorderDxfId="114" tableBorderDxfId="112">
  <tableColumns count="6">
    <tableColumn id="1" xr3:uid="{D2B780DE-F5D8-44A5-BE34-0714089AB621}" name="Total |Q2| (ring atoms)" headerRowDxfId="111" dataDxfId="110"/>
    <tableColumn id="2" xr3:uid="{F5981129-334B-440F-8980-B115A74EE9F7}" name="Total Qzz (ring atoms)" headerRowDxfId="109" dataDxfId="108"/>
    <tableColumn id="3" xr3:uid="{FC1D76EA-C0DD-40CF-B6AE-6CA97F1D3B56}" name="|Q2| origin" headerRowDxfId="107" dataDxfId="106"/>
    <tableColumn id="4" xr3:uid="{1324754B-5A3A-4291-92E5-553601C47525}" name="Qzz origin" headerRowDxfId="105" dataDxfId="104"/>
    <tableColumn id="5" xr3:uid="{C10FDB49-7748-4B76-B8CC-597FE2D734B5}" name="|Q2|(1)" headerRowDxfId="103" dataDxfId="102"/>
    <tableColumn id="6" xr3:uid="{59BE8533-885F-44FE-812D-FF94C40BED0B}" name="Q2(1)zz" headerRowDxfId="101" dataDxfId="100"/>
  </tableColumns>
  <tableStyleInfo name="TableStyleMedium6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C14F968-1E7E-4039-9CAC-10D52018AA7D}" name="Tabela12162120" displayName="Tabela12162120" ref="AO3:AO18" headerRowCount="0" totalsRowShown="0" headerRowDxfId="99" dataDxfId="98">
  <tableColumns count="1">
    <tableColumn id="1" xr3:uid="{94AD129D-6E03-4146-B19F-E2FFC044B07F}" name="X" dataDxfId="97"/>
  </tableColumns>
  <tableStyleInfo name="TableStyleMedium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D6F3FE9-1374-4B2D-A8A7-C861CD156D27}" name="Tabela13172223" displayName="Tabela13172223" ref="AZ3:BE18" headerRowCount="0" totalsRowShown="0" headerRowDxfId="96" dataDxfId="94" headerRowBorderDxfId="95" tableBorderDxfId="93">
  <tableColumns count="6">
    <tableColumn id="1" xr3:uid="{F4CE4347-A65F-4CDF-A71E-C55C2D3D6598}" name="Total |Q2| (ring atoms)" headerRowDxfId="92" dataDxfId="91"/>
    <tableColumn id="2" xr3:uid="{35DD2E74-E198-4844-9609-8279B95D9DC6}" name="Total Qzz (ring atoms)" headerRowDxfId="90" dataDxfId="89"/>
    <tableColumn id="3" xr3:uid="{BD73E613-A4C2-45FE-9858-86D3362E71F7}" name="|Q2| origin" headerRowDxfId="88" dataDxfId="87"/>
    <tableColumn id="4" xr3:uid="{F9B54C70-FF9F-4CAB-A825-2B6288954178}" name="Qzz origin" headerRowDxfId="86" dataDxfId="85"/>
    <tableColumn id="5" xr3:uid="{A2BB4983-3C03-4FB4-ACCB-D2FA9FB1E341}" name="|Q2|(1)" headerRowDxfId="84" dataDxfId="83"/>
    <tableColumn id="6" xr3:uid="{2D50AD6F-33F3-4881-9F25-01D32CAA6C09}" name="Q2(1)zz" headerRowDxfId="82" dataDxfId="81"/>
  </tableColumns>
  <tableStyleInfo name="TableStyleMedium6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D0EE9D2-065C-4302-87C7-AABAA8D37B3D}" name="Tabela12162124" displayName="Tabela12162124" ref="AY3:AY18" headerRowCount="0" totalsRowShown="0" headerRowDxfId="80" dataDxfId="79">
  <tableColumns count="1">
    <tableColumn id="1" xr3:uid="{0F892DB0-D573-445A-B789-750FF41DFFF1}" name="X" dataDxfId="78"/>
  </tableColumns>
  <tableStyleInfo name="TableStyleMedium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363E60CE-753F-4292-B417-4D1F8ED7C898}" name="Tabela53" displayName="Tabela53" ref="AE1:AK17" totalsRowShown="0">
  <autoFilter ref="AE1:AK17" xr:uid="{363E60CE-753F-4292-B417-4D1F8ED7C898}"/>
  <sortState xmlns:xlrd2="http://schemas.microsoft.com/office/spreadsheetml/2017/richdata2" ref="AE2:AK17">
    <sortCondition descending="1" ref="AK1:AK17"/>
  </sortState>
  <tableColumns count="7">
    <tableColumn id="1" xr3:uid="{278823A5-576E-43D3-9B92-3C13BA3F34AE}" name="X"/>
    <tableColumn id="2" xr3:uid="{9224AF37-AD77-4ECE-B955-63F98F4E2E7C}" name="Total |Q2| (ring atoms)"/>
    <tableColumn id="3" xr3:uid="{9D41EFF5-6A0C-4699-9C9B-8BF35F28EA99}" name="Total Qzz (ring atoms)"/>
    <tableColumn id="4" xr3:uid="{7CB3F360-53F9-4A1B-A01D-68F6D0F6E4B8}" name="|Q2| origin"/>
    <tableColumn id="5" xr3:uid="{85394DFA-59F2-4169-A484-8D33F5B959B9}" name="Qzz origin"/>
    <tableColumn id="6" xr3:uid="{72D3CAAD-DCAB-4781-8156-D49C6916F783}" name="|Q2|(1)"/>
    <tableColumn id="7" xr3:uid="{1DF1FDD8-0785-4196-9AB8-91C6E3838A92}" name="Q2(1)zz"/>
  </tableColumns>
  <tableStyleInfo name="TableStyleLight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D8BBAC-87A4-40D6-BB0E-1FF5D3282615}" name="Tabela5" displayName="Tabela5" ref="K3:Q19" totalsRowShown="0" headerRowDxfId="35" dataDxfId="34">
  <autoFilter ref="K3:Q19" xr:uid="{D8D8BBAC-87A4-40D6-BB0E-1FF5D3282615}"/>
  <tableColumns count="7">
    <tableColumn id="1" xr3:uid="{656FB9FB-D401-46A0-A7CD-C046A047C3A2}" name="Molecule" dataDxfId="33"/>
    <tableColumn id="2" xr3:uid="{D2434A80-63C6-4B7A-B249-B783C6A41BDA}" name="Total |Q2| (ring atoms)" dataDxfId="32"/>
    <tableColumn id="3" xr3:uid="{5DF19AF5-829B-45B3-BD0C-1F42FCA17DF7}" name="Total Qzz (ring atoms)" dataDxfId="31"/>
    <tableColumn id="4" xr3:uid="{33FEF186-0242-4CCC-AF0A-908D4A758206}" name="|Q2| origin" dataDxfId="30"/>
    <tableColumn id="5" xr3:uid="{B8737971-8CA1-4A49-BC29-5D5873B7B622}" name="Qzz origin" dataDxfId="29"/>
    <tableColumn id="6" xr3:uid="{817C9285-F2AE-422E-9F6D-4098E8697AFE}" name="|Q2|(1)" dataDxfId="28"/>
    <tableColumn id="7" xr3:uid="{6BBBAC3E-F0FA-4B62-9396-0228BC1A6A65}" name="Q2(1)zz" dataDxfId="27"/>
  </tableColumns>
  <tableStyleInfo name="TableStyleLight1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884D8E-07E7-4A5D-89B4-090B566D686E}" name="Tabela6" displayName="Tabela6" ref="A3:G19" totalsRowShown="0" headerRowDxfId="26" dataDxfId="25">
  <autoFilter ref="A3:G19" xr:uid="{E2884D8E-07E7-4A5D-89B4-090B566D686E}"/>
  <tableColumns count="7">
    <tableColumn id="1" xr3:uid="{50200997-1107-427D-81DC-60192C6B9229}" name="Molecule" dataDxfId="24"/>
    <tableColumn id="2" xr3:uid="{D99144AA-696D-4864-A555-7E7D287988AB}" name="Total |Q2| (ring atoms)" dataDxfId="23"/>
    <tableColumn id="3" xr3:uid="{13FAFC2E-DB1E-47DA-B39B-86281C5505D8}" name="Total Qzz (ring atoms)" dataDxfId="22"/>
    <tableColumn id="4" xr3:uid="{D1012717-EDE2-4DEC-B84A-C5B9E555803B}" name="|Q2| origin" dataDxfId="21"/>
    <tableColumn id="5" xr3:uid="{1044CA75-13ED-41D8-AA5C-60F9F7DED79F}" name="Qzz origin" dataDxfId="20"/>
    <tableColumn id="6" xr3:uid="{C0842872-48B0-40B1-BA63-B8DC7333B4F7}" name="|Q2|(1)" dataDxfId="19"/>
    <tableColumn id="7" xr3:uid="{2B6C1946-D09B-479B-988F-28A48897E9AA}" name="Q2(1)zz" dataDxfId="18"/>
  </tableColumns>
  <tableStyleInfo name="TableStyleLight1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4E1F9D-0B35-4DBE-B61B-21B6ECBF8569}" name="Tabela7" displayName="Tabela7" ref="A3:G19" totalsRowShown="0" headerRowDxfId="17" dataDxfId="16">
  <autoFilter ref="A3:G19" xr:uid="{884E1F9D-0B35-4DBE-B61B-21B6ECBF8569}"/>
  <tableColumns count="7">
    <tableColumn id="1" xr3:uid="{D99F33AC-FAA8-4642-B9C5-0EEC8C00710E}" name="Molecule" dataDxfId="15"/>
    <tableColumn id="2" xr3:uid="{CCFE8E33-6DEE-48F7-8F48-DEA5708D091D}" name="Total |Q2| (ring atoms)" dataDxfId="14"/>
    <tableColumn id="3" xr3:uid="{82795DBA-0B95-4F4D-B8E2-B08D9EFBCDC1}" name="Total Qzz (ring atoms)" dataDxfId="13"/>
    <tableColumn id="4" xr3:uid="{4CBACF40-3366-477B-9C53-A55F96B248D1}" name="|Q2| origin" dataDxfId="12"/>
    <tableColumn id="5" xr3:uid="{F480D4E9-55BF-4755-B4AA-278117DA9A50}" name="Qzz origin" dataDxfId="11"/>
    <tableColumn id="6" xr3:uid="{B8A44739-8CC4-472B-A17F-6AC4B8CDA293}" name="|Q2|(-1)" dataDxfId="10"/>
    <tableColumn id="7" xr3:uid="{19245524-2D9B-48D3-B4B4-0040603FE8F0}" name="Q2(-1)zz" dataDxfId="9"/>
  </tableColumns>
  <tableStyleInfo name="TableStyleLight1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6E85CAC-BD22-438B-B20C-B441DF3930CC}" name="Tabela8" displayName="Tabela8" ref="K3:Q19" totalsRowShown="0" headerRowDxfId="8" dataDxfId="7">
  <autoFilter ref="K3:Q19" xr:uid="{36E85CAC-BD22-438B-B20C-B441DF3930CC}"/>
  <tableColumns count="7">
    <tableColumn id="1" xr3:uid="{70C0F0AD-EE15-40DF-85D5-D881B08E410D}" name="Molecule" dataDxfId="6"/>
    <tableColumn id="2" xr3:uid="{8618388A-3372-4653-8327-D0ACDF24B72D}" name="Total |Q2| (ring atoms)" dataDxfId="5"/>
    <tableColumn id="3" xr3:uid="{C6F408EE-851D-4AA3-AA45-ED788E42671B}" name="Total Qzz (ring atoms)" dataDxfId="4"/>
    <tableColumn id="4" xr3:uid="{1C998940-426D-42FD-BD1E-C31EA3C7F03B}" name="|Q2| origin" dataDxfId="3"/>
    <tableColumn id="5" xr3:uid="{0F2CF682-0699-4BBE-8DA4-26B1CAC637EA}" name="Qzz origin" dataDxfId="2"/>
    <tableColumn id="6" xr3:uid="{D91C6F62-918C-4FDB-94C2-E8EA583BE596}" name="|Q2|(-1)" dataDxfId="1"/>
    <tableColumn id="7" xr3:uid="{F21F6312-0FF8-445C-A35D-73D5D50E8A7F}" name="Q2(-1)zz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12" Type="http://schemas.openxmlformats.org/officeDocument/2006/relationships/table" Target="../tables/table19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3.xml"/><Relationship Id="rId11" Type="http://schemas.openxmlformats.org/officeDocument/2006/relationships/table" Target="../tables/table18.xml"/><Relationship Id="rId5" Type="http://schemas.openxmlformats.org/officeDocument/2006/relationships/table" Target="../tables/table12.xml"/><Relationship Id="rId10" Type="http://schemas.openxmlformats.org/officeDocument/2006/relationships/table" Target="../tables/table17.xml"/><Relationship Id="rId4" Type="http://schemas.openxmlformats.org/officeDocument/2006/relationships/table" Target="../tables/table11.xml"/><Relationship Id="rId9" Type="http://schemas.openxmlformats.org/officeDocument/2006/relationships/table" Target="../tables/table1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25.xml"/><Relationship Id="rId4" Type="http://schemas.openxmlformats.org/officeDocument/2006/relationships/table" Target="../tables/table2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7" Type="http://schemas.openxmlformats.org/officeDocument/2006/relationships/table" Target="../tables/table3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4.xml"/><Relationship Id="rId5" Type="http://schemas.openxmlformats.org/officeDocument/2006/relationships/table" Target="../tables/table33.xml"/><Relationship Id="rId4" Type="http://schemas.openxmlformats.org/officeDocument/2006/relationships/table" Target="../tables/table32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2.xml"/><Relationship Id="rId3" Type="http://schemas.openxmlformats.org/officeDocument/2006/relationships/table" Target="../tables/table37.xml"/><Relationship Id="rId7" Type="http://schemas.openxmlformats.org/officeDocument/2006/relationships/table" Target="../tables/table41.xml"/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0.xml"/><Relationship Id="rId11" Type="http://schemas.openxmlformats.org/officeDocument/2006/relationships/table" Target="../tables/table45.xml"/><Relationship Id="rId5" Type="http://schemas.openxmlformats.org/officeDocument/2006/relationships/table" Target="../tables/table39.xml"/><Relationship Id="rId10" Type="http://schemas.openxmlformats.org/officeDocument/2006/relationships/table" Target="../tables/table44.xml"/><Relationship Id="rId4" Type="http://schemas.openxmlformats.org/officeDocument/2006/relationships/table" Target="../tables/table38.xml"/><Relationship Id="rId9" Type="http://schemas.openxmlformats.org/officeDocument/2006/relationships/table" Target="../tables/table4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table" Target="../tables/table4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table" Target="../tables/table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E3BB2-5895-4D62-9632-DCDEBE9C8F6A}">
  <dimension ref="A1:S63"/>
  <sheetViews>
    <sheetView tabSelected="1" zoomScale="55" zoomScaleNormal="55" workbookViewId="0">
      <selection activeCell="C17" sqref="C17"/>
    </sheetView>
  </sheetViews>
  <sheetFormatPr defaultRowHeight="15" x14ac:dyDescent="0.25"/>
  <cols>
    <col min="1" max="1" width="22.42578125" bestFit="1" customWidth="1"/>
    <col min="2" max="2" width="26.7109375" bestFit="1" customWidth="1"/>
    <col min="3" max="3" width="25.28515625" bestFit="1" customWidth="1"/>
    <col min="4" max="4" width="15.85546875" bestFit="1" customWidth="1"/>
    <col min="5" max="5" width="14.5703125" bestFit="1" customWidth="1"/>
    <col min="6" max="7" width="13.85546875" bestFit="1" customWidth="1"/>
    <col min="8" max="8" width="13.85546875" customWidth="1"/>
    <col min="9" max="13" width="13.85546875" bestFit="1" customWidth="1"/>
    <col min="14" max="14" width="14.42578125" bestFit="1" customWidth="1"/>
    <col min="15" max="15" width="14.140625" bestFit="1" customWidth="1"/>
    <col min="16" max="19" width="13.85546875" bestFit="1" customWidth="1"/>
  </cols>
  <sheetData>
    <row r="1" spans="1:19" x14ac:dyDescent="0.25">
      <c r="A1" s="48" t="s">
        <v>30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spans="1:19" ht="15.75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</row>
    <row r="4" spans="1:19" ht="15.75" x14ac:dyDescent="0.25">
      <c r="A4" s="1" t="s">
        <v>32</v>
      </c>
      <c r="B4" s="2">
        <v>5.1327819999999997</v>
      </c>
      <c r="C4" s="2">
        <v>-3.6894539999999898</v>
      </c>
      <c r="D4" s="2">
        <v>7.25101</v>
      </c>
      <c r="E4" s="2">
        <v>-7.2118250000000002</v>
      </c>
      <c r="F4" s="2">
        <v>0.32303300000000001</v>
      </c>
      <c r="G4" s="2">
        <v>0.322737</v>
      </c>
      <c r="H4" s="2">
        <v>0.64816399999999996</v>
      </c>
      <c r="I4" s="2">
        <v>0.64074699999999996</v>
      </c>
      <c r="J4" s="2">
        <v>0.51549</v>
      </c>
      <c r="K4" s="2">
        <v>0.51497800000000005</v>
      </c>
      <c r="L4" s="2">
        <v>0.460312</v>
      </c>
      <c r="M4" s="2">
        <v>0.45994600000000002</v>
      </c>
      <c r="N4" s="2">
        <v>0.51549</v>
      </c>
      <c r="O4" s="2">
        <v>0.51497800000000005</v>
      </c>
      <c r="P4" s="2">
        <v>0.64816399999999996</v>
      </c>
      <c r="Q4" s="2">
        <v>0.64074699999999996</v>
      </c>
      <c r="R4" s="2">
        <v>0.32303300000000001</v>
      </c>
      <c r="S4" s="2">
        <v>0.322737</v>
      </c>
    </row>
    <row r="5" spans="1:19" ht="15.75" x14ac:dyDescent="0.25">
      <c r="A5" s="1" t="s">
        <v>33</v>
      </c>
      <c r="B5" s="2">
        <v>4.7614960000000002</v>
      </c>
      <c r="C5" s="2">
        <v>-3.4008799999999999</v>
      </c>
      <c r="D5" s="2">
        <v>5.1781199999999998</v>
      </c>
      <c r="E5" s="2">
        <v>-5.1261900000000002</v>
      </c>
      <c r="F5" s="2">
        <v>0.32758700000000002</v>
      </c>
      <c r="G5" s="2">
        <v>0.32756299999999999</v>
      </c>
      <c r="H5" s="2">
        <v>0.67946700000000004</v>
      </c>
      <c r="I5" s="2">
        <v>0.67862299999999998</v>
      </c>
      <c r="J5" s="2">
        <v>0.52472399999999997</v>
      </c>
      <c r="K5" s="2">
        <v>0.52471999999999996</v>
      </c>
      <c r="L5" s="2">
        <v>0.44711800000000002</v>
      </c>
      <c r="M5" s="2">
        <v>0.44706400000000002</v>
      </c>
      <c r="N5" s="2">
        <v>0.52472399999999997</v>
      </c>
      <c r="O5" s="2">
        <v>0.52471999999999996</v>
      </c>
      <c r="P5" s="2">
        <v>0.67946700000000004</v>
      </c>
      <c r="Q5" s="2">
        <v>0.67862299999999998</v>
      </c>
      <c r="R5" s="2">
        <v>0.32758700000000002</v>
      </c>
      <c r="S5" s="2">
        <v>0.32756299999999999</v>
      </c>
    </row>
    <row r="6" spans="1:19" ht="15.75" x14ac:dyDescent="0.25">
      <c r="A6" s="1" t="s">
        <v>34</v>
      </c>
      <c r="B6" s="2">
        <v>4.8304320000000001</v>
      </c>
      <c r="C6" s="2">
        <v>-3.2139739999999999</v>
      </c>
      <c r="D6" s="2">
        <v>15.773535000000001</v>
      </c>
      <c r="E6" s="2">
        <v>-1.1663289999999999</v>
      </c>
      <c r="F6" s="2">
        <v>0.28098200000000001</v>
      </c>
      <c r="G6" s="2">
        <v>0.27365699999999998</v>
      </c>
      <c r="H6" s="2">
        <v>0.62867200000000001</v>
      </c>
      <c r="I6" s="2">
        <v>0.61712299999999998</v>
      </c>
      <c r="J6" s="2">
        <v>0.51289300000000004</v>
      </c>
      <c r="K6" s="2">
        <v>0.51196200000000003</v>
      </c>
      <c r="L6" s="2">
        <v>0.46281699999999998</v>
      </c>
      <c r="M6" s="2">
        <v>0.46262799999999998</v>
      </c>
      <c r="N6" s="2">
        <v>0.51289300000000004</v>
      </c>
      <c r="O6" s="2">
        <v>0.51196200000000003</v>
      </c>
      <c r="P6" s="2">
        <v>0.62867200000000001</v>
      </c>
      <c r="Q6" s="2">
        <v>0.61712299999999998</v>
      </c>
      <c r="R6" s="2">
        <v>0.28098200000000001</v>
      </c>
      <c r="S6" s="2">
        <v>0.27365699999999998</v>
      </c>
    </row>
    <row r="7" spans="1:19" ht="15.75" x14ac:dyDescent="0.25">
      <c r="A7" s="1" t="s">
        <v>35</v>
      </c>
      <c r="B7" s="2">
        <v>4.9495779999999998</v>
      </c>
      <c r="C7" s="2">
        <v>-3.612568</v>
      </c>
      <c r="D7" s="2">
        <v>14.466609999999999</v>
      </c>
      <c r="E7" s="2">
        <v>-10.032377</v>
      </c>
      <c r="F7" s="2">
        <v>0.31619399999999998</v>
      </c>
      <c r="G7" s="2">
        <v>0.31349900000000003</v>
      </c>
      <c r="H7" s="2">
        <v>0.68459499999999995</v>
      </c>
      <c r="I7" s="2">
        <v>0.68263399999999996</v>
      </c>
      <c r="J7" s="2">
        <v>0.52465600000000001</v>
      </c>
      <c r="K7" s="2">
        <v>0.52458000000000005</v>
      </c>
      <c r="L7" s="2">
        <v>0.441409</v>
      </c>
      <c r="M7" s="2">
        <v>0.44140800000000002</v>
      </c>
      <c r="N7" s="2">
        <v>0.52465600000000001</v>
      </c>
      <c r="O7" s="2">
        <v>0.52458000000000005</v>
      </c>
      <c r="P7" s="2">
        <v>0.68459499999999995</v>
      </c>
      <c r="Q7" s="2">
        <v>0.68263399999999996</v>
      </c>
      <c r="R7" s="2">
        <v>0.31619399999999998</v>
      </c>
      <c r="S7" s="2">
        <v>0.31349900000000003</v>
      </c>
    </row>
    <row r="8" spans="1:19" ht="15.75" x14ac:dyDescent="0.25">
      <c r="A8" s="1" t="s">
        <v>36</v>
      </c>
      <c r="B8" s="2">
        <v>4.8453859999999898</v>
      </c>
      <c r="C8" s="2">
        <v>-3.44068799999999</v>
      </c>
      <c r="D8" s="2">
        <v>14.501651000000001</v>
      </c>
      <c r="E8" s="2">
        <v>-6.2477289999999996</v>
      </c>
      <c r="F8" s="2">
        <v>0.29792800000000003</v>
      </c>
      <c r="G8" s="2">
        <v>0.29235699999999998</v>
      </c>
      <c r="H8" s="2">
        <v>0.67862</v>
      </c>
      <c r="I8" s="2">
        <v>0.67662699999999998</v>
      </c>
      <c r="J8" s="2">
        <v>0.52362399999999998</v>
      </c>
      <c r="K8" s="2">
        <v>0.523424</v>
      </c>
      <c r="L8" s="2">
        <v>0.43850099999999997</v>
      </c>
      <c r="M8" s="2">
        <v>0.438332</v>
      </c>
      <c r="N8" s="2">
        <v>0.52362399999999998</v>
      </c>
      <c r="O8" s="2">
        <v>0.523424</v>
      </c>
      <c r="P8" s="2">
        <v>0.67862</v>
      </c>
      <c r="Q8" s="2">
        <v>0.67662699999999998</v>
      </c>
      <c r="R8" s="2">
        <v>0.29792800000000003</v>
      </c>
      <c r="S8" s="2">
        <v>0.29235699999999998</v>
      </c>
    </row>
    <row r="9" spans="1:19" ht="15.75" x14ac:dyDescent="0.25">
      <c r="A9" s="1" t="s">
        <v>19</v>
      </c>
      <c r="B9" s="2">
        <v>4.6010900000000001</v>
      </c>
      <c r="C9" s="2">
        <v>-2.8135680000000001</v>
      </c>
      <c r="D9" s="2">
        <v>16.392565999999999</v>
      </c>
      <c r="E9" s="2">
        <v>3.3859219999999999</v>
      </c>
      <c r="F9" s="2">
        <v>0.256996</v>
      </c>
      <c r="G9" s="2">
        <v>0.23985899999999999</v>
      </c>
      <c r="H9" s="2">
        <v>0.61161600000000005</v>
      </c>
      <c r="I9" s="2">
        <v>0.595217</v>
      </c>
      <c r="J9" s="2">
        <v>0.51170499999999997</v>
      </c>
      <c r="K9" s="2">
        <v>0.51022500000000004</v>
      </c>
      <c r="L9" s="2">
        <v>0.46785900000000002</v>
      </c>
      <c r="M9" s="2">
        <v>0.46779300000000001</v>
      </c>
      <c r="N9" s="2">
        <v>0.51170499999999997</v>
      </c>
      <c r="O9" s="2">
        <v>0.51022500000000004</v>
      </c>
      <c r="P9" s="2">
        <v>0.61161600000000005</v>
      </c>
      <c r="Q9" s="2">
        <v>0.595217</v>
      </c>
      <c r="R9" s="2">
        <v>0.256996</v>
      </c>
      <c r="S9" s="2">
        <v>0.23985899999999999</v>
      </c>
    </row>
    <row r="10" spans="1:19" ht="15.75" x14ac:dyDescent="0.25">
      <c r="A10" s="1" t="s">
        <v>20</v>
      </c>
      <c r="B10" s="2">
        <v>4.3320819999999998</v>
      </c>
      <c r="C10" s="2">
        <v>-2.4908860000000002</v>
      </c>
      <c r="D10" s="2">
        <v>16.520524999999999</v>
      </c>
      <c r="E10" s="2">
        <v>-14.888493</v>
      </c>
      <c r="F10" s="2">
        <v>0.25039899999999998</v>
      </c>
      <c r="G10" s="2">
        <v>0.25034800000000001</v>
      </c>
      <c r="H10" s="2">
        <v>0.63339299999999998</v>
      </c>
      <c r="I10" s="2">
        <v>0.63327500000000003</v>
      </c>
      <c r="J10" s="2">
        <v>0.50617400000000001</v>
      </c>
      <c r="K10" s="2">
        <v>0.50545099999999998</v>
      </c>
      <c r="L10" s="2">
        <v>0.433869</v>
      </c>
      <c r="M10" s="2">
        <v>0.43264599999999998</v>
      </c>
      <c r="N10" s="2">
        <v>0.50617400000000001</v>
      </c>
      <c r="O10" s="2">
        <v>0.50545099999999998</v>
      </c>
      <c r="P10" s="2">
        <v>0.63339299999999998</v>
      </c>
      <c r="Q10" s="2">
        <v>0.63327500000000003</v>
      </c>
      <c r="R10" s="2">
        <v>0.25039899999999998</v>
      </c>
      <c r="S10" s="2">
        <v>0.25034800000000001</v>
      </c>
    </row>
    <row r="11" spans="1:19" ht="15.75" x14ac:dyDescent="0.25">
      <c r="A11" s="1" t="s">
        <v>21</v>
      </c>
      <c r="B11" s="2">
        <v>5.795248</v>
      </c>
      <c r="C11" s="2">
        <v>-4.3701989999999897</v>
      </c>
      <c r="D11" s="2">
        <v>9.9634370000000008</v>
      </c>
      <c r="E11" s="2">
        <v>2.3502399999999999</v>
      </c>
      <c r="F11" s="2">
        <v>0.446826</v>
      </c>
      <c r="G11" s="2">
        <v>0.44405699999999998</v>
      </c>
      <c r="H11" s="2">
        <v>0.72533700000000001</v>
      </c>
      <c r="I11" s="2">
        <v>0.72353900000000004</v>
      </c>
      <c r="J11" s="2">
        <v>0.51488199999999995</v>
      </c>
      <c r="K11" s="2">
        <v>0.51439199999999996</v>
      </c>
      <c r="L11" s="2">
        <v>0.42327999999999999</v>
      </c>
      <c r="M11" s="2">
        <v>0.42327199999999998</v>
      </c>
      <c r="N11" s="2">
        <v>0.51488199999999995</v>
      </c>
      <c r="O11" s="2">
        <v>0.51439199999999996</v>
      </c>
      <c r="P11" s="2">
        <v>0.72533700000000001</v>
      </c>
      <c r="Q11" s="2">
        <v>0.72353900000000004</v>
      </c>
      <c r="R11" s="2">
        <v>0.446826</v>
      </c>
      <c r="S11" s="2">
        <v>0.44405699999999998</v>
      </c>
    </row>
    <row r="12" spans="1:19" ht="15.75" x14ac:dyDescent="0.25">
      <c r="A12" s="1" t="s">
        <v>22</v>
      </c>
      <c r="B12" s="2">
        <v>4.907934</v>
      </c>
      <c r="C12" s="2">
        <v>-3.1747529999999999</v>
      </c>
      <c r="D12" s="2">
        <v>5.3402839999999996</v>
      </c>
      <c r="E12" s="2">
        <v>-5.3356269999999997</v>
      </c>
      <c r="F12" s="2">
        <v>0.32456000000000002</v>
      </c>
      <c r="G12" s="2">
        <v>0.324318</v>
      </c>
      <c r="H12" s="2">
        <v>0.69254099999999996</v>
      </c>
      <c r="I12" s="2">
        <v>0.69158900000000001</v>
      </c>
      <c r="J12" s="2">
        <v>0.51233399999999996</v>
      </c>
      <c r="K12" s="2">
        <v>0.51136899999999996</v>
      </c>
      <c r="L12" s="2">
        <v>0.41040900000000002</v>
      </c>
      <c r="M12" s="2">
        <v>0.40952300000000003</v>
      </c>
      <c r="N12" s="2">
        <v>0.51627999999999996</v>
      </c>
      <c r="O12" s="2">
        <v>0.51516700000000004</v>
      </c>
      <c r="P12" s="2">
        <v>0.69358200000000003</v>
      </c>
      <c r="Q12" s="2">
        <v>0.69301000000000001</v>
      </c>
      <c r="R12" s="2">
        <v>0.33681299999999997</v>
      </c>
      <c r="S12" s="2">
        <v>0.33521499999999999</v>
      </c>
    </row>
    <row r="13" spans="1:19" ht="15.75" x14ac:dyDescent="0.25">
      <c r="A13" s="1" t="s">
        <v>23</v>
      </c>
      <c r="B13" s="2">
        <v>4.2105179999999898</v>
      </c>
      <c r="C13" s="2">
        <v>-2.285256</v>
      </c>
      <c r="D13" s="2">
        <v>13.102096</v>
      </c>
      <c r="E13" s="2">
        <v>-11.686589</v>
      </c>
      <c r="F13" s="2">
        <v>0.223166</v>
      </c>
      <c r="G13" s="2">
        <v>0.22253400000000001</v>
      </c>
      <c r="H13" s="2">
        <v>0.60360499999999995</v>
      </c>
      <c r="I13" s="2">
        <v>0.60287999999999997</v>
      </c>
      <c r="J13" s="2">
        <v>0.50362300000000004</v>
      </c>
      <c r="K13" s="2">
        <v>0.50273699999999999</v>
      </c>
      <c r="L13" s="2">
        <v>0.443463</v>
      </c>
      <c r="M13" s="2">
        <v>0.44223099999999999</v>
      </c>
      <c r="N13" s="2">
        <v>0.50362300000000004</v>
      </c>
      <c r="O13" s="2">
        <v>0.50273699999999999</v>
      </c>
      <c r="P13" s="2">
        <v>0.60360499999999995</v>
      </c>
      <c r="Q13" s="2">
        <v>0.60287999999999997</v>
      </c>
      <c r="R13" s="2">
        <v>0.223166</v>
      </c>
      <c r="S13" s="2">
        <v>0.22253400000000001</v>
      </c>
    </row>
    <row r="14" spans="1:19" ht="15.75" x14ac:dyDescent="0.25">
      <c r="A14" s="1" t="s">
        <v>24</v>
      </c>
      <c r="B14" s="2">
        <v>5.7269949999999996</v>
      </c>
      <c r="C14" s="2">
        <v>-4.2198010000000004</v>
      </c>
      <c r="D14" s="2">
        <v>13.089626000000001</v>
      </c>
      <c r="E14" s="2">
        <v>4.3328709999999999</v>
      </c>
      <c r="F14" s="2">
        <v>0.39566800000000002</v>
      </c>
      <c r="G14" s="2">
        <v>0.39435399999999998</v>
      </c>
      <c r="H14" s="2">
        <v>0.71402900000000002</v>
      </c>
      <c r="I14" s="2">
        <v>0.71037499999999998</v>
      </c>
      <c r="J14" s="2">
        <v>0.51575700000000002</v>
      </c>
      <c r="K14" s="2">
        <v>0.51528600000000002</v>
      </c>
      <c r="L14" s="2">
        <v>0.42634300000000003</v>
      </c>
      <c r="M14" s="2">
        <v>0.426315</v>
      </c>
      <c r="N14" s="2">
        <v>0.51575700000000002</v>
      </c>
      <c r="O14" s="2">
        <v>0.51528600000000002</v>
      </c>
      <c r="P14" s="2">
        <v>0.71402900000000002</v>
      </c>
      <c r="Q14" s="2">
        <v>0.71037499999999998</v>
      </c>
      <c r="R14" s="2">
        <v>0.39566800000000002</v>
      </c>
      <c r="S14" s="2">
        <v>0.39435399999999998</v>
      </c>
    </row>
    <row r="15" spans="1:19" ht="15.75" x14ac:dyDescent="0.25">
      <c r="A15" s="1" t="s">
        <v>25</v>
      </c>
      <c r="B15" s="2">
        <v>5.0338839999999996</v>
      </c>
      <c r="C15" s="2">
        <v>-3.3980250000000001</v>
      </c>
      <c r="D15" s="2">
        <v>8.9082419999999995</v>
      </c>
      <c r="E15" s="2">
        <v>-7.8888239999999996</v>
      </c>
      <c r="F15" s="2">
        <v>0.31167099999999998</v>
      </c>
      <c r="G15" s="2">
        <v>0.31077700000000003</v>
      </c>
      <c r="H15" s="2">
        <v>0.68549300000000002</v>
      </c>
      <c r="I15" s="2">
        <v>0.68332700000000002</v>
      </c>
      <c r="J15" s="2">
        <v>0.51410400000000001</v>
      </c>
      <c r="K15" s="2">
        <v>0.512957</v>
      </c>
      <c r="L15" s="2">
        <v>0.41233300000000001</v>
      </c>
      <c r="M15" s="2">
        <v>0.41164299999999998</v>
      </c>
      <c r="N15" s="2">
        <v>0.51716300000000004</v>
      </c>
      <c r="O15" s="2">
        <v>0.51602199999999998</v>
      </c>
      <c r="P15" s="2">
        <v>0.69615199999999999</v>
      </c>
      <c r="Q15" s="2">
        <v>0.69416299999999997</v>
      </c>
      <c r="R15" s="2">
        <v>0.323467</v>
      </c>
      <c r="S15" s="2">
        <v>0.32263799999999998</v>
      </c>
    </row>
    <row r="16" spans="1:19" ht="15.75" x14ac:dyDescent="0.25">
      <c r="A16" s="1" t="s">
        <v>26</v>
      </c>
      <c r="B16" s="2">
        <v>4.0993300000000001</v>
      </c>
      <c r="C16" s="2">
        <v>-2.1115780000000002</v>
      </c>
      <c r="D16" s="2">
        <v>9.5080240000000007</v>
      </c>
      <c r="E16" s="2">
        <v>-8.9638069999999992</v>
      </c>
      <c r="F16" s="2">
        <v>0.20128599999999999</v>
      </c>
      <c r="G16" s="2">
        <v>0.19827700000000001</v>
      </c>
      <c r="H16" s="2">
        <v>0.576484</v>
      </c>
      <c r="I16" s="2">
        <v>0.57373600000000002</v>
      </c>
      <c r="J16" s="2">
        <v>0.50192800000000004</v>
      </c>
      <c r="K16" s="2">
        <v>0.50061999999999995</v>
      </c>
      <c r="L16" s="2">
        <v>0.45427299999999998</v>
      </c>
      <c r="M16" s="2">
        <v>0.45295600000000003</v>
      </c>
      <c r="N16" s="2">
        <v>0.50192800000000004</v>
      </c>
      <c r="O16" s="2">
        <v>0.50061999999999995</v>
      </c>
      <c r="P16" s="2">
        <v>0.576484</v>
      </c>
      <c r="Q16" s="2">
        <v>0.57373600000000002</v>
      </c>
      <c r="R16" s="2">
        <v>0.20128599999999999</v>
      </c>
      <c r="S16" s="2">
        <v>0.19827700000000001</v>
      </c>
    </row>
    <row r="17" spans="1:19" ht="15.75" x14ac:dyDescent="0.25">
      <c r="A17" s="1" t="s">
        <v>27</v>
      </c>
      <c r="B17" s="2">
        <v>5.6419360000000003</v>
      </c>
      <c r="C17" s="2">
        <v>-4.0777450000000002</v>
      </c>
      <c r="D17" s="2">
        <v>12.836347</v>
      </c>
      <c r="E17" s="2">
        <v>5.4266579999999998</v>
      </c>
      <c r="F17" s="2">
        <v>0.37418000000000001</v>
      </c>
      <c r="G17" s="2">
        <v>0.36952200000000002</v>
      </c>
      <c r="H17" s="2">
        <v>0.70521800000000001</v>
      </c>
      <c r="I17" s="2">
        <v>0.70011100000000004</v>
      </c>
      <c r="J17" s="2">
        <v>0.51682300000000003</v>
      </c>
      <c r="K17" s="2">
        <v>0.51634400000000003</v>
      </c>
      <c r="L17" s="2">
        <v>0.42907800000000001</v>
      </c>
      <c r="M17" s="2">
        <v>0.42905500000000002</v>
      </c>
      <c r="N17" s="2">
        <v>0.51682300000000003</v>
      </c>
      <c r="O17" s="2">
        <v>0.51634400000000003</v>
      </c>
      <c r="P17" s="2">
        <v>0.70521800000000001</v>
      </c>
      <c r="Q17" s="2">
        <v>0.70011100000000004</v>
      </c>
      <c r="R17" s="2">
        <v>0.37418000000000001</v>
      </c>
      <c r="S17" s="2">
        <v>0.36952200000000002</v>
      </c>
    </row>
    <row r="18" spans="1:19" ht="15.75" x14ac:dyDescent="0.25">
      <c r="A18" s="1" t="s">
        <v>28</v>
      </c>
      <c r="B18" s="2">
        <v>4.9826819999999996</v>
      </c>
      <c r="C18" s="2">
        <v>-3.308481</v>
      </c>
      <c r="D18" s="2">
        <v>8.353116</v>
      </c>
      <c r="E18" s="2">
        <v>-6.0801400000000001</v>
      </c>
      <c r="F18" s="2">
        <v>0.29870099999999999</v>
      </c>
      <c r="G18" s="2">
        <v>0.295765</v>
      </c>
      <c r="H18" s="2">
        <v>0.68275399999999997</v>
      </c>
      <c r="I18" s="2">
        <v>0.68010599999999999</v>
      </c>
      <c r="J18" s="2">
        <v>0.51696900000000001</v>
      </c>
      <c r="K18" s="2">
        <v>0.51573400000000003</v>
      </c>
      <c r="L18" s="2">
        <v>0.41373799999999999</v>
      </c>
      <c r="M18" s="2">
        <v>0.41271099999999999</v>
      </c>
      <c r="N18" s="2">
        <v>0.51696900000000001</v>
      </c>
      <c r="O18" s="2">
        <v>0.51573400000000003</v>
      </c>
      <c r="P18" s="2">
        <v>0.68275399999999997</v>
      </c>
      <c r="Q18" s="2">
        <v>0.68010599999999999</v>
      </c>
      <c r="R18" s="2">
        <v>0.29870099999999999</v>
      </c>
      <c r="S18" s="2">
        <v>0.295765</v>
      </c>
    </row>
    <row r="19" spans="1:19" ht="15.75" x14ac:dyDescent="0.25">
      <c r="A19" s="1" t="s">
        <v>29</v>
      </c>
      <c r="B19" s="2">
        <v>4.945862</v>
      </c>
      <c r="C19" s="2">
        <v>-3.315912</v>
      </c>
      <c r="D19" s="2">
        <v>5.7419929999999999</v>
      </c>
      <c r="E19" s="2">
        <v>-5.7419929999999999</v>
      </c>
      <c r="F19" s="2">
        <v>0.32597999999999999</v>
      </c>
      <c r="G19" s="2">
        <v>0.32597999999999999</v>
      </c>
      <c r="H19" s="2">
        <v>0.69814900000000002</v>
      </c>
      <c r="I19" s="2">
        <v>0.69814900000000002</v>
      </c>
      <c r="J19" s="2">
        <v>0.52957399999999999</v>
      </c>
      <c r="K19" s="2">
        <v>0.52957399999999999</v>
      </c>
      <c r="L19" s="2">
        <v>0.45052199999999998</v>
      </c>
      <c r="M19" s="2">
        <v>0.45052199999999998</v>
      </c>
      <c r="N19" s="2">
        <v>0.52957399999999999</v>
      </c>
      <c r="O19" s="2">
        <v>0.52957399999999999</v>
      </c>
      <c r="P19" s="2">
        <v>0.69814900000000002</v>
      </c>
      <c r="Q19" s="2">
        <v>0.69814900000000002</v>
      </c>
      <c r="R19" s="2">
        <v>0.32597999999999999</v>
      </c>
      <c r="S19" s="2">
        <v>0.32597999999999999</v>
      </c>
    </row>
    <row r="22" spans="1:19" x14ac:dyDescent="0.25">
      <c r="A22" s="48" t="s">
        <v>31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</row>
    <row r="23" spans="1:19" x14ac:dyDescent="0.2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</row>
    <row r="24" spans="1:19" ht="15.75" x14ac:dyDescent="0.25">
      <c r="A24" s="1" t="s">
        <v>0</v>
      </c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6</v>
      </c>
      <c r="H24" s="2" t="s">
        <v>7</v>
      </c>
      <c r="I24" s="2" t="s">
        <v>8</v>
      </c>
      <c r="J24" s="2" t="s">
        <v>9</v>
      </c>
      <c r="K24" s="2" t="s">
        <v>10</v>
      </c>
      <c r="L24" s="2" t="s">
        <v>11</v>
      </c>
      <c r="M24" s="2" t="s">
        <v>12</v>
      </c>
      <c r="N24" s="2" t="s">
        <v>13</v>
      </c>
      <c r="O24" s="2" t="s">
        <v>14</v>
      </c>
      <c r="P24" s="2" t="s">
        <v>15</v>
      </c>
      <c r="Q24" s="2" t="s">
        <v>16</v>
      </c>
      <c r="R24" s="2" t="s">
        <v>17</v>
      </c>
      <c r="S24" s="2" t="s">
        <v>18</v>
      </c>
    </row>
    <row r="25" spans="1:19" ht="15.75" x14ac:dyDescent="0.25">
      <c r="A25" s="1" t="s">
        <v>32</v>
      </c>
      <c r="B25" s="3">
        <v>103.77932097579701</v>
      </c>
      <c r="C25" s="3">
        <v>111.265136107351</v>
      </c>
      <c r="D25" s="3">
        <v>126.28036989944</v>
      </c>
      <c r="E25" s="3">
        <v>125.597941341969</v>
      </c>
      <c r="F25" s="3">
        <v>99.095956807166004</v>
      </c>
      <c r="G25" s="3">
        <v>99.005153690410395</v>
      </c>
      <c r="H25" s="3">
        <v>92.840353563494304</v>
      </c>
      <c r="I25" s="3">
        <v>91.777972896903094</v>
      </c>
      <c r="J25" s="3">
        <v>97.340503876700893</v>
      </c>
      <c r="K25" s="3">
        <v>97.243822393093296</v>
      </c>
      <c r="L25" s="3">
        <v>102.173034835146</v>
      </c>
      <c r="M25" s="3">
        <v>102.091795739164</v>
      </c>
      <c r="N25" s="3">
        <v>97.340503876700893</v>
      </c>
      <c r="O25" s="3">
        <v>97.243822393093296</v>
      </c>
      <c r="P25" s="3">
        <v>92.840353563494304</v>
      </c>
      <c r="Q25" s="3">
        <v>91.777972896903094</v>
      </c>
      <c r="R25" s="3">
        <v>99.095956807166004</v>
      </c>
      <c r="S25" s="3">
        <v>99.005153690410395</v>
      </c>
    </row>
    <row r="26" spans="1:19" ht="15.75" x14ac:dyDescent="0.25">
      <c r="A26" s="1" t="s">
        <v>33</v>
      </c>
      <c r="B26" s="3">
        <v>96.272318152022805</v>
      </c>
      <c r="C26" s="3">
        <v>102.562432296152</v>
      </c>
      <c r="D26" s="3">
        <v>90.179838254766196</v>
      </c>
      <c r="E26" s="3">
        <v>89.275448437502405</v>
      </c>
      <c r="F26" s="3">
        <v>100.492975029142</v>
      </c>
      <c r="G26" s="3">
        <v>100.48561261427</v>
      </c>
      <c r="H26" s="3">
        <v>97.324066925541601</v>
      </c>
      <c r="I26" s="3">
        <v>97.203175826363704</v>
      </c>
      <c r="J26" s="3">
        <v>99.084169540045295</v>
      </c>
      <c r="K26" s="3">
        <v>99.083414215954704</v>
      </c>
      <c r="L26" s="3">
        <v>99.244432014418805</v>
      </c>
      <c r="M26" s="3">
        <v>99.232445918290296</v>
      </c>
      <c r="N26" s="3">
        <v>99.084169540045295</v>
      </c>
      <c r="O26" s="3">
        <v>99.083414215954704</v>
      </c>
      <c r="P26" s="3">
        <v>97.324066925541601</v>
      </c>
      <c r="Q26" s="3">
        <v>97.203175826363704</v>
      </c>
      <c r="R26" s="3">
        <v>100.492975029142</v>
      </c>
      <c r="S26" s="3">
        <v>100.48561261427</v>
      </c>
    </row>
    <row r="27" spans="1:19" ht="15.75" x14ac:dyDescent="0.25">
      <c r="A27" s="1" t="s">
        <v>34</v>
      </c>
      <c r="B27" s="3">
        <v>97.666129786880404</v>
      </c>
      <c r="C27" s="3">
        <v>96.925792964348801</v>
      </c>
      <c r="D27" s="3">
        <v>274.704880343811</v>
      </c>
      <c r="E27" s="3">
        <v>20.312267883294101</v>
      </c>
      <c r="F27" s="3">
        <v>86.196085649426294</v>
      </c>
      <c r="G27" s="3">
        <v>83.949015277010801</v>
      </c>
      <c r="H27" s="3">
        <v>90.048399410440993</v>
      </c>
      <c r="I27" s="3">
        <v>88.394168007115894</v>
      </c>
      <c r="J27" s="3">
        <v>96.8501097108241</v>
      </c>
      <c r="K27" s="3">
        <v>96.674308028717405</v>
      </c>
      <c r="L27" s="3">
        <v>102.729056516662</v>
      </c>
      <c r="M27" s="3">
        <v>102.687105180213</v>
      </c>
      <c r="N27" s="3">
        <v>96.8501097108241</v>
      </c>
      <c r="O27" s="3">
        <v>96.674308028717405</v>
      </c>
      <c r="P27" s="3">
        <v>90.048399410440993</v>
      </c>
      <c r="Q27" s="3">
        <v>88.394168007115894</v>
      </c>
      <c r="R27" s="3">
        <v>86.196085649426294</v>
      </c>
      <c r="S27" s="3">
        <v>83.949015277010801</v>
      </c>
    </row>
    <row r="28" spans="1:19" ht="15.75" x14ac:dyDescent="0.25">
      <c r="A28" s="1" t="s">
        <v>35</v>
      </c>
      <c r="B28" s="3">
        <v>100.075133515654</v>
      </c>
      <c r="C28" s="3">
        <v>108.946437661795</v>
      </c>
      <c r="D28" s="3">
        <v>251.94405496488699</v>
      </c>
      <c r="E28" s="3">
        <v>174.71942233297699</v>
      </c>
      <c r="F28" s="3">
        <v>96.997975335910098</v>
      </c>
      <c r="G28" s="3">
        <v>96.171237499233101</v>
      </c>
      <c r="H28" s="3">
        <v>98.058580618177402</v>
      </c>
      <c r="I28" s="3">
        <v>97.777695019258005</v>
      </c>
      <c r="J28" s="3">
        <v>99.071329030503705</v>
      </c>
      <c r="K28" s="3">
        <v>99.056977872780706</v>
      </c>
      <c r="L28" s="3">
        <v>97.977235295945604</v>
      </c>
      <c r="M28" s="3">
        <v>97.9770133312024</v>
      </c>
      <c r="N28" s="3">
        <v>99.071329030503705</v>
      </c>
      <c r="O28" s="3">
        <v>99.056977872780706</v>
      </c>
      <c r="P28" s="3">
        <v>98.058580618177402</v>
      </c>
      <c r="Q28" s="3">
        <v>97.777695019258005</v>
      </c>
      <c r="R28" s="3">
        <v>96.997975335910098</v>
      </c>
      <c r="S28" s="3">
        <v>96.171237499233101</v>
      </c>
    </row>
    <row r="29" spans="1:19" ht="15.75" x14ac:dyDescent="0.25">
      <c r="A29" s="1" t="s">
        <v>36</v>
      </c>
      <c r="B29" s="3">
        <v>97.968483552513106</v>
      </c>
      <c r="C29" s="3">
        <v>103.762946664447</v>
      </c>
      <c r="D29" s="3">
        <v>252.554313458759</v>
      </c>
      <c r="E29" s="3">
        <v>108.80767357257299</v>
      </c>
      <c r="F29" s="3">
        <v>91.394564083686106</v>
      </c>
      <c r="G29" s="3">
        <v>89.685563531504997</v>
      </c>
      <c r="H29" s="3">
        <v>97.202746118665203</v>
      </c>
      <c r="I29" s="3">
        <v>96.917276970961694</v>
      </c>
      <c r="J29" s="3">
        <v>98.876455415107202</v>
      </c>
      <c r="K29" s="3">
        <v>98.838689210572994</v>
      </c>
      <c r="L29" s="3">
        <v>97.331761822952004</v>
      </c>
      <c r="M29" s="3">
        <v>97.294249781364698</v>
      </c>
      <c r="N29" s="3">
        <v>98.876455415107202</v>
      </c>
      <c r="O29" s="3">
        <v>98.838689210572994</v>
      </c>
      <c r="P29" s="3">
        <v>97.202746118665203</v>
      </c>
      <c r="Q29" s="3">
        <v>96.917276970961694</v>
      </c>
      <c r="R29" s="3">
        <v>91.394564083686106</v>
      </c>
      <c r="S29" s="3">
        <v>89.685563531504997</v>
      </c>
    </row>
    <row r="30" spans="1:19" ht="15.75" x14ac:dyDescent="0.25">
      <c r="A30" s="1" t="s">
        <v>19</v>
      </c>
      <c r="B30" s="3">
        <v>93.029081684850894</v>
      </c>
      <c r="C30" s="3">
        <v>84.850502667139494</v>
      </c>
      <c r="D30" s="3">
        <v>285.485649320714</v>
      </c>
      <c r="E30" s="3">
        <v>-58.967713823405902</v>
      </c>
      <c r="F30" s="3">
        <v>78.837965519356999</v>
      </c>
      <c r="G30" s="3">
        <v>73.580894533406905</v>
      </c>
      <c r="H30" s="3">
        <v>87.605367908569605</v>
      </c>
      <c r="I30" s="3">
        <v>85.256442392669697</v>
      </c>
      <c r="J30" s="3">
        <v>96.625778455890895</v>
      </c>
      <c r="K30" s="3">
        <v>96.346308542337795</v>
      </c>
      <c r="L30" s="3">
        <v>103.84820275147401</v>
      </c>
      <c r="M30" s="3">
        <v>103.83355307842901</v>
      </c>
      <c r="N30" s="3">
        <v>96.625778455890895</v>
      </c>
      <c r="O30" s="3">
        <v>96.346308542337795</v>
      </c>
      <c r="P30" s="3">
        <v>87.605367908569605</v>
      </c>
      <c r="Q30" s="3">
        <v>85.256442392669697</v>
      </c>
      <c r="R30" s="3">
        <v>78.837965519356999</v>
      </c>
      <c r="S30" s="3">
        <v>73.580894533406905</v>
      </c>
    </row>
    <row r="31" spans="1:19" ht="15.75" x14ac:dyDescent="0.25">
      <c r="A31" s="1" t="s">
        <v>20</v>
      </c>
      <c r="B31" s="3">
        <v>87.590029806735402</v>
      </c>
      <c r="C31" s="3">
        <v>75.119182897495406</v>
      </c>
      <c r="D31" s="3">
        <v>287.71412643658698</v>
      </c>
      <c r="E31" s="3">
        <v>259.29138192958402</v>
      </c>
      <c r="F31" s="3">
        <v>76.814221731394497</v>
      </c>
      <c r="G31" s="3">
        <v>76.798576599791403</v>
      </c>
      <c r="H31" s="3">
        <v>90.724616091980295</v>
      </c>
      <c r="I31" s="3">
        <v>90.707714255839306</v>
      </c>
      <c r="J31" s="3">
        <v>95.581354069497294</v>
      </c>
      <c r="K31" s="3">
        <v>95.444829240106202</v>
      </c>
      <c r="L31" s="3">
        <v>96.303621132819202</v>
      </c>
      <c r="M31" s="3">
        <v>96.032158251983205</v>
      </c>
      <c r="N31" s="3">
        <v>95.581354069497294</v>
      </c>
      <c r="O31" s="3">
        <v>95.444829240106202</v>
      </c>
      <c r="P31" s="3">
        <v>90.724616091980295</v>
      </c>
      <c r="Q31" s="3">
        <v>90.707714255839306</v>
      </c>
      <c r="R31" s="3">
        <v>76.814221731394497</v>
      </c>
      <c r="S31" s="3">
        <v>76.798576599791403</v>
      </c>
    </row>
    <row r="32" spans="1:19" ht="15.75" x14ac:dyDescent="0.25">
      <c r="A32" s="1" t="s">
        <v>21</v>
      </c>
      <c r="B32" s="3">
        <v>117.173669625234</v>
      </c>
      <c r="C32" s="3">
        <v>131.794782249951</v>
      </c>
      <c r="D32" s="3">
        <v>173.51879391005801</v>
      </c>
      <c r="E32" s="3">
        <v>-40.930736070211097</v>
      </c>
      <c r="F32" s="3">
        <v>137.07159948463001</v>
      </c>
      <c r="G32" s="3">
        <v>136.22216086876401</v>
      </c>
      <c r="H32" s="3">
        <v>103.894297635605</v>
      </c>
      <c r="I32" s="3">
        <v>103.63675948830399</v>
      </c>
      <c r="J32" s="3">
        <v>97.225694614916804</v>
      </c>
      <c r="K32" s="3">
        <v>97.133167413807996</v>
      </c>
      <c r="L32" s="3">
        <v>93.953236467919396</v>
      </c>
      <c r="M32" s="3">
        <v>93.951460749974402</v>
      </c>
      <c r="N32" s="3">
        <v>97.225694614916804</v>
      </c>
      <c r="O32" s="3">
        <v>97.133167413807996</v>
      </c>
      <c r="P32" s="3">
        <v>103.894297635605</v>
      </c>
      <c r="Q32" s="3">
        <v>103.63675948830399</v>
      </c>
      <c r="R32" s="3">
        <v>137.07159948463001</v>
      </c>
      <c r="S32" s="3">
        <v>136.22216086876401</v>
      </c>
    </row>
    <row r="33" spans="1:19" ht="15.75" x14ac:dyDescent="0.25">
      <c r="A33" s="1" t="s">
        <v>22</v>
      </c>
      <c r="B33" s="3">
        <v>99.233136711052595</v>
      </c>
      <c r="C33" s="3">
        <v>95.742981116507295</v>
      </c>
      <c r="D33" s="3">
        <v>93.004014459787697</v>
      </c>
      <c r="E33" s="3">
        <v>92.9229102160173</v>
      </c>
      <c r="F33" s="3">
        <v>99.564390453401998</v>
      </c>
      <c r="G33" s="3">
        <v>99.490152770108594</v>
      </c>
      <c r="H33" s="3">
        <v>99.196733075604101</v>
      </c>
      <c r="I33" s="3">
        <v>99.060372499280206</v>
      </c>
      <c r="J33" s="3">
        <v>96.744553169151004</v>
      </c>
      <c r="K33" s="3">
        <v>96.562331232273394</v>
      </c>
      <c r="L33" s="3">
        <v>91.096328259219305</v>
      </c>
      <c r="M33" s="3">
        <v>90.8996674968148</v>
      </c>
      <c r="N33" s="3">
        <v>97.489680384611006</v>
      </c>
      <c r="O33" s="3">
        <v>97.279511456378103</v>
      </c>
      <c r="P33" s="3">
        <v>99.345841646983601</v>
      </c>
      <c r="Q33" s="3">
        <v>99.263910712469595</v>
      </c>
      <c r="R33" s="3">
        <v>103.323210012884</v>
      </c>
      <c r="S33" s="3">
        <v>102.832995889318</v>
      </c>
    </row>
    <row r="34" spans="1:19" ht="15.75" x14ac:dyDescent="0.25">
      <c r="A34" s="1" t="s">
        <v>23</v>
      </c>
      <c r="B34" s="3">
        <v>85.132136723588303</v>
      </c>
      <c r="C34" s="3">
        <v>68.917872368144799</v>
      </c>
      <c r="D34" s="3">
        <v>228.18028513793001</v>
      </c>
      <c r="E34" s="3">
        <v>203.52844386957599</v>
      </c>
      <c r="F34" s="3">
        <v>68.460028222590296</v>
      </c>
      <c r="G34" s="3">
        <v>68.266151297625598</v>
      </c>
      <c r="H34" s="3">
        <v>86.457905117675395</v>
      </c>
      <c r="I34" s="3">
        <v>86.354059090537902</v>
      </c>
      <c r="J34" s="3">
        <v>95.099646130663501</v>
      </c>
      <c r="K34" s="3">
        <v>94.932341844576897</v>
      </c>
      <c r="L34" s="3">
        <v>98.433150878314393</v>
      </c>
      <c r="M34" s="3">
        <v>98.159690314790396</v>
      </c>
      <c r="N34" s="3">
        <v>95.099646130663501</v>
      </c>
      <c r="O34" s="3">
        <v>94.932341844576897</v>
      </c>
      <c r="P34" s="3">
        <v>86.457905117675395</v>
      </c>
      <c r="Q34" s="3">
        <v>86.354059090537902</v>
      </c>
      <c r="R34" s="3">
        <v>68.460028222590296</v>
      </c>
      <c r="S34" s="3">
        <v>68.266151297625598</v>
      </c>
    </row>
    <row r="35" spans="1:19" ht="15.75" x14ac:dyDescent="0.25">
      <c r="A35" s="1" t="s">
        <v>24</v>
      </c>
      <c r="B35" s="3">
        <v>115.793667514378</v>
      </c>
      <c r="C35" s="3">
        <v>127.259137154423</v>
      </c>
      <c r="D35" s="3">
        <v>227.96311315600701</v>
      </c>
      <c r="E35" s="3">
        <v>-75.459357055990793</v>
      </c>
      <c r="F35" s="3">
        <v>121.37799865022301</v>
      </c>
      <c r="G35" s="3">
        <v>120.974906435977</v>
      </c>
      <c r="H35" s="3">
        <v>102.274586084059</v>
      </c>
      <c r="I35" s="3">
        <v>101.75120210728601</v>
      </c>
      <c r="J35" s="3">
        <v>97.390921759753994</v>
      </c>
      <c r="K35" s="3">
        <v>97.301982348075995</v>
      </c>
      <c r="L35" s="3">
        <v>94.633114476096594</v>
      </c>
      <c r="M35" s="3">
        <v>94.626899463289206</v>
      </c>
      <c r="N35" s="3">
        <v>97.390921759753994</v>
      </c>
      <c r="O35" s="3">
        <v>97.301982348075995</v>
      </c>
      <c r="P35" s="3">
        <v>102.274586084059</v>
      </c>
      <c r="Q35" s="3">
        <v>101.75120210728601</v>
      </c>
      <c r="R35" s="3">
        <v>121.37799865022301</v>
      </c>
      <c r="S35" s="3">
        <v>120.974906435977</v>
      </c>
    </row>
    <row r="36" spans="1:19" ht="15.75" x14ac:dyDescent="0.25">
      <c r="A36" s="1" t="s">
        <v>25</v>
      </c>
      <c r="B36" s="3">
        <v>101.779709987864</v>
      </c>
      <c r="C36" s="3">
        <v>102.47633230314899</v>
      </c>
      <c r="D36" s="3">
        <v>155.14198641482099</v>
      </c>
      <c r="E36" s="3">
        <v>137.38825526258901</v>
      </c>
      <c r="F36" s="3">
        <v>95.610466899809794</v>
      </c>
      <c r="G36" s="3">
        <v>95.336216945824901</v>
      </c>
      <c r="H36" s="3">
        <v>98.187206455928404</v>
      </c>
      <c r="I36" s="3">
        <v>97.8769574976115</v>
      </c>
      <c r="J36" s="3">
        <v>97.078784079278805</v>
      </c>
      <c r="K36" s="3">
        <v>96.862194896275099</v>
      </c>
      <c r="L36" s="3">
        <v>91.5233884249825</v>
      </c>
      <c r="M36" s="3">
        <v>91.370232752229597</v>
      </c>
      <c r="N36" s="3">
        <v>97.656418177629504</v>
      </c>
      <c r="O36" s="3">
        <v>97.440961980761898</v>
      </c>
      <c r="P36" s="3">
        <v>99.713957908698504</v>
      </c>
      <c r="Q36" s="3">
        <v>99.429061704593096</v>
      </c>
      <c r="R36" s="3">
        <v>99.229093809436094</v>
      </c>
      <c r="S36" s="3">
        <v>98.974783729063105</v>
      </c>
    </row>
    <row r="37" spans="1:19" ht="15.75" x14ac:dyDescent="0.25">
      <c r="A37" s="1" t="s">
        <v>26</v>
      </c>
      <c r="B37" s="3">
        <v>82.884035179307403</v>
      </c>
      <c r="C37" s="3">
        <v>63.680157977654403</v>
      </c>
      <c r="D37" s="3">
        <v>165.587523356437</v>
      </c>
      <c r="E37" s="3">
        <v>156.10968177773799</v>
      </c>
      <c r="F37" s="3">
        <v>61.747959997545799</v>
      </c>
      <c r="G37" s="3">
        <v>60.824897232959003</v>
      </c>
      <c r="H37" s="3">
        <v>82.573204287336907</v>
      </c>
      <c r="I37" s="3">
        <v>82.179592035511007</v>
      </c>
      <c r="J37" s="3">
        <v>94.779577547236002</v>
      </c>
      <c r="K37" s="3">
        <v>94.532586569582307</v>
      </c>
      <c r="L37" s="3">
        <v>100.832589751443</v>
      </c>
      <c r="M37" s="3">
        <v>100.540262184754</v>
      </c>
      <c r="N37" s="3">
        <v>94.779577547236002</v>
      </c>
      <c r="O37" s="3">
        <v>94.532586569582307</v>
      </c>
      <c r="P37" s="3">
        <v>82.573204287336907</v>
      </c>
      <c r="Q37" s="3">
        <v>82.179592035511007</v>
      </c>
      <c r="R37" s="3">
        <v>61.747959997545799</v>
      </c>
      <c r="S37" s="3">
        <v>60.824897232959003</v>
      </c>
    </row>
    <row r="38" spans="1:19" ht="15.75" x14ac:dyDescent="0.25">
      <c r="A38" s="1" t="s">
        <v>27</v>
      </c>
      <c r="B38" s="3">
        <v>114.073866193597</v>
      </c>
      <c r="C38" s="3">
        <v>122.97506688959101</v>
      </c>
      <c r="D38" s="3">
        <v>223.55211857625</v>
      </c>
      <c r="E38" s="3">
        <v>-94.508265684057704</v>
      </c>
      <c r="F38" s="3">
        <v>114.786183201423</v>
      </c>
      <c r="G38" s="3">
        <v>113.357261181667</v>
      </c>
      <c r="H38" s="3">
        <v>101.01253457356501</v>
      </c>
      <c r="I38" s="3">
        <v>100.281028834818</v>
      </c>
      <c r="J38" s="3">
        <v>97.592215629921398</v>
      </c>
      <c r="K38" s="3">
        <v>97.501765570061906</v>
      </c>
      <c r="L38" s="3">
        <v>95.2401880485303</v>
      </c>
      <c r="M38" s="3">
        <v>95.235082859438606</v>
      </c>
      <c r="N38" s="3">
        <v>97.592215629921398</v>
      </c>
      <c r="O38" s="3">
        <v>97.501765570061906</v>
      </c>
      <c r="P38" s="3">
        <v>101.01253457356501</v>
      </c>
      <c r="Q38" s="3">
        <v>100.281028834818</v>
      </c>
      <c r="R38" s="3">
        <v>114.786183201423</v>
      </c>
      <c r="S38" s="3">
        <v>113.357261181667</v>
      </c>
    </row>
    <row r="39" spans="1:19" ht="15.75" x14ac:dyDescent="0.25">
      <c r="A39" s="1" t="s">
        <v>28</v>
      </c>
      <c r="B39" s="3">
        <v>100.74446072292299</v>
      </c>
      <c r="C39" s="3">
        <v>99.775898757264898</v>
      </c>
      <c r="D39" s="3">
        <v>145.47415853694</v>
      </c>
      <c r="E39" s="3">
        <v>105.88901797685899</v>
      </c>
      <c r="F39" s="3">
        <v>91.631695196024296</v>
      </c>
      <c r="G39" s="3">
        <v>90.731026443339999</v>
      </c>
      <c r="H39" s="3">
        <v>97.794883327197994</v>
      </c>
      <c r="I39" s="3">
        <v>97.415594665322104</v>
      </c>
      <c r="J39" s="3">
        <v>97.619784959231296</v>
      </c>
      <c r="K39" s="3">
        <v>97.386578646232607</v>
      </c>
      <c r="L39" s="3">
        <v>91.835248889066406</v>
      </c>
      <c r="M39" s="3">
        <v>91.607291097881998</v>
      </c>
      <c r="N39" s="3">
        <v>97.619784959231296</v>
      </c>
      <c r="O39" s="3">
        <v>97.386578646232607</v>
      </c>
      <c r="P39" s="3">
        <v>97.794883327197994</v>
      </c>
      <c r="Q39" s="3">
        <v>97.415594665322104</v>
      </c>
      <c r="R39" s="3">
        <v>91.631695196024296</v>
      </c>
      <c r="S39" s="3">
        <v>90.731026443339999</v>
      </c>
    </row>
    <row r="40" spans="1:19" ht="15.75" x14ac:dyDescent="0.25">
      <c r="A40" s="1" t="s">
        <v>29</v>
      </c>
      <c r="B40" s="3">
        <v>100</v>
      </c>
      <c r="C40" s="3">
        <v>100</v>
      </c>
      <c r="D40" s="3">
        <v>100</v>
      </c>
      <c r="E40" s="3">
        <v>100</v>
      </c>
      <c r="F40" s="3">
        <v>100</v>
      </c>
      <c r="G40" s="3">
        <v>100</v>
      </c>
      <c r="H40" s="3">
        <v>100</v>
      </c>
      <c r="I40" s="3">
        <v>100</v>
      </c>
      <c r="J40" s="3">
        <v>100</v>
      </c>
      <c r="K40" s="3">
        <v>100</v>
      </c>
      <c r="L40" s="3">
        <v>100</v>
      </c>
      <c r="M40" s="3">
        <v>100</v>
      </c>
      <c r="N40" s="3">
        <v>100</v>
      </c>
      <c r="O40" s="3">
        <v>100</v>
      </c>
      <c r="P40" s="3">
        <v>100</v>
      </c>
      <c r="Q40" s="3">
        <v>100</v>
      </c>
      <c r="R40" s="3">
        <v>100</v>
      </c>
      <c r="S40" s="3">
        <v>100</v>
      </c>
    </row>
    <row r="54" s="6" customFormat="1" x14ac:dyDescent="0.25"/>
    <row r="59" s="6" customFormat="1" x14ac:dyDescent="0.25"/>
    <row r="62" s="6" customFormat="1" x14ac:dyDescent="0.25"/>
    <row r="63" s="6" customFormat="1" x14ac:dyDescent="0.25"/>
  </sheetData>
  <mergeCells count="2">
    <mergeCell ref="A1:S2"/>
    <mergeCell ref="A22:S23"/>
  </mergeCell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9BDA-5751-4132-A480-11580CB194F6}">
  <dimension ref="A1:K18"/>
  <sheetViews>
    <sheetView zoomScale="79" zoomScaleNormal="85" workbookViewId="0">
      <selection activeCell="A17" sqref="A17"/>
    </sheetView>
  </sheetViews>
  <sheetFormatPr defaultRowHeight="15.75" x14ac:dyDescent="0.25"/>
  <cols>
    <col min="1" max="1" width="15.5703125" style="19" bestFit="1" customWidth="1"/>
    <col min="2" max="2" width="16.85546875" style="19" bestFit="1" customWidth="1"/>
    <col min="3" max="9" width="10.5703125" style="19" customWidth="1"/>
    <col min="10" max="10" width="9.140625" style="19"/>
    <col min="11" max="11" width="17.28515625" style="19" customWidth="1"/>
    <col min="12" max="13" width="12.85546875" style="19" bestFit="1" customWidth="1"/>
    <col min="14" max="14" width="13.85546875" style="19" bestFit="1" customWidth="1"/>
    <col min="15" max="15" width="12.85546875" style="19" bestFit="1" customWidth="1"/>
    <col min="16" max="16" width="14.5703125" style="19" bestFit="1" customWidth="1"/>
    <col min="17" max="18" width="13.5703125" style="19" bestFit="1" customWidth="1"/>
    <col min="19" max="16384" width="9.140625" style="19"/>
  </cols>
  <sheetData>
    <row r="1" spans="1:11" x14ac:dyDescent="0.25">
      <c r="A1" s="39" t="s">
        <v>61</v>
      </c>
      <c r="B1" s="39" t="s">
        <v>60</v>
      </c>
      <c r="C1" s="41" t="s">
        <v>59</v>
      </c>
      <c r="D1" s="42"/>
      <c r="E1" s="42"/>
      <c r="F1" s="42"/>
      <c r="G1" s="42"/>
      <c r="H1" s="42"/>
      <c r="I1" s="43"/>
      <c r="J1" s="21"/>
    </row>
    <row r="2" spans="1:11" x14ac:dyDescent="0.25">
      <c r="A2" s="40"/>
      <c r="B2" s="40"/>
      <c r="C2" s="22" t="s">
        <v>5</v>
      </c>
      <c r="D2" s="22" t="s">
        <v>7</v>
      </c>
      <c r="E2" s="22" t="s">
        <v>9</v>
      </c>
      <c r="F2" s="22" t="s">
        <v>11</v>
      </c>
      <c r="G2" s="22" t="s">
        <v>13</v>
      </c>
      <c r="H2" s="22" t="s">
        <v>15</v>
      </c>
      <c r="I2" s="22" t="s">
        <v>17</v>
      </c>
      <c r="K2" s="20" t="s">
        <v>37</v>
      </c>
    </row>
    <row r="3" spans="1:11" x14ac:dyDescent="0.25">
      <c r="A3" s="17" t="s">
        <v>32</v>
      </c>
      <c r="B3" s="23" t="str">
        <f t="shared" ref="B3:B18" si="0">INDEX($C$2:$I$2,MATCH(LARGE(C3:I3,1),C3:I3,0))</f>
        <v>|Q2|(1)</v>
      </c>
      <c r="C3" s="24">
        <v>0.32303300000000001</v>
      </c>
      <c r="D3" s="24">
        <v>0.64816399999999996</v>
      </c>
      <c r="E3" s="24">
        <v>0.51549</v>
      </c>
      <c r="F3" s="24">
        <v>0.460312</v>
      </c>
      <c r="G3" s="24">
        <v>0.51549</v>
      </c>
      <c r="H3" s="24">
        <v>0.64816399999999996</v>
      </c>
      <c r="I3" s="24">
        <v>0.32303300000000001</v>
      </c>
      <c r="K3" s="20"/>
    </row>
    <row r="4" spans="1:11" x14ac:dyDescent="0.25">
      <c r="A4" s="17" t="s">
        <v>33</v>
      </c>
      <c r="B4" s="23" t="str">
        <f t="shared" si="0"/>
        <v>|Q2|(1)</v>
      </c>
      <c r="C4" s="24">
        <v>0.32758700000000002</v>
      </c>
      <c r="D4" s="24">
        <v>0.67946700000000004</v>
      </c>
      <c r="E4" s="24">
        <v>0.52472399999999997</v>
      </c>
      <c r="F4" s="24">
        <v>0.44711800000000002</v>
      </c>
      <c r="G4" s="24">
        <v>0.52472399999999997</v>
      </c>
      <c r="H4" s="24">
        <v>0.67946700000000004</v>
      </c>
      <c r="I4" s="24">
        <v>0.32758700000000002</v>
      </c>
      <c r="K4" s="20" t="s">
        <v>38</v>
      </c>
    </row>
    <row r="5" spans="1:11" x14ac:dyDescent="0.25">
      <c r="A5" s="17" t="s">
        <v>34</v>
      </c>
      <c r="B5" s="23" t="str">
        <f t="shared" si="0"/>
        <v>|Q2|(1)</v>
      </c>
      <c r="C5" s="24">
        <v>0.28098200000000001</v>
      </c>
      <c r="D5" s="24">
        <v>0.62867200000000001</v>
      </c>
      <c r="E5" s="24">
        <v>0.51289300000000004</v>
      </c>
      <c r="F5" s="24">
        <v>0.46281699999999998</v>
      </c>
      <c r="G5" s="24">
        <v>0.51289300000000004</v>
      </c>
      <c r="H5" s="24">
        <v>0.62867200000000001</v>
      </c>
      <c r="I5" s="24">
        <v>0.28098200000000001</v>
      </c>
      <c r="K5" s="20"/>
    </row>
    <row r="6" spans="1:11" x14ac:dyDescent="0.25">
      <c r="A6" s="17" t="s">
        <v>35</v>
      </c>
      <c r="B6" s="23" t="str">
        <f t="shared" si="0"/>
        <v>|Q2|(1)</v>
      </c>
      <c r="C6" s="24">
        <v>0.31619399999999998</v>
      </c>
      <c r="D6" s="24">
        <v>0.68459499999999995</v>
      </c>
      <c r="E6" s="24">
        <v>0.52465600000000001</v>
      </c>
      <c r="F6" s="24">
        <v>0.441409</v>
      </c>
      <c r="G6" s="24">
        <v>0.52465600000000001</v>
      </c>
      <c r="H6" s="24">
        <v>0.68459499999999995</v>
      </c>
      <c r="I6" s="24">
        <v>0.31619399999999998</v>
      </c>
      <c r="K6" s="20" t="s">
        <v>62</v>
      </c>
    </row>
    <row r="7" spans="1:11" x14ac:dyDescent="0.25">
      <c r="A7" s="17" t="s">
        <v>36</v>
      </c>
      <c r="B7" s="23" t="str">
        <f t="shared" si="0"/>
        <v>|Q2|(1)</v>
      </c>
      <c r="C7" s="24">
        <v>0.29792800000000003</v>
      </c>
      <c r="D7" s="24">
        <v>0.67862</v>
      </c>
      <c r="E7" s="24">
        <v>0.52362399999999998</v>
      </c>
      <c r="F7" s="24">
        <v>0.43850099999999997</v>
      </c>
      <c r="G7" s="24">
        <v>0.52362399999999998</v>
      </c>
      <c r="H7" s="24">
        <v>0.67862</v>
      </c>
      <c r="I7" s="24">
        <v>0.29792800000000003</v>
      </c>
    </row>
    <row r="8" spans="1:11" x14ac:dyDescent="0.25">
      <c r="A8" s="17" t="s">
        <v>19</v>
      </c>
      <c r="B8" s="23" t="str">
        <f t="shared" si="0"/>
        <v>|Q2|(1)</v>
      </c>
      <c r="C8" s="24">
        <v>0.256996</v>
      </c>
      <c r="D8" s="24">
        <v>0.61161600000000005</v>
      </c>
      <c r="E8" s="24">
        <v>0.51170499999999997</v>
      </c>
      <c r="F8" s="24">
        <v>0.46785900000000002</v>
      </c>
      <c r="G8" s="24">
        <v>0.51170499999999997</v>
      </c>
      <c r="H8" s="24">
        <v>0.61161600000000005</v>
      </c>
      <c r="I8" s="24">
        <v>0.256996</v>
      </c>
      <c r="K8" s="28" t="s">
        <v>86</v>
      </c>
    </row>
    <row r="9" spans="1:11" ht="15" customHeight="1" x14ac:dyDescent="0.25">
      <c r="A9" s="17" t="s">
        <v>20</v>
      </c>
      <c r="B9" s="23" t="str">
        <f t="shared" si="0"/>
        <v>|Q2|(1)</v>
      </c>
      <c r="C9" s="24">
        <v>0.25039899999999998</v>
      </c>
      <c r="D9" s="24">
        <v>0.63339299999999998</v>
      </c>
      <c r="E9" s="24">
        <v>0.50617400000000001</v>
      </c>
      <c r="F9" s="24">
        <v>0.433869</v>
      </c>
      <c r="G9" s="24">
        <v>0.50617400000000001</v>
      </c>
      <c r="H9" s="24">
        <v>0.63339299999999998</v>
      </c>
      <c r="I9" s="24">
        <v>0.25039899999999998</v>
      </c>
      <c r="K9" s="28" t="s">
        <v>87</v>
      </c>
    </row>
    <row r="10" spans="1:11" ht="15" customHeight="1" x14ac:dyDescent="0.25">
      <c r="A10" s="17" t="s">
        <v>21</v>
      </c>
      <c r="B10" s="23" t="str">
        <f t="shared" si="0"/>
        <v>|Q2|(1)</v>
      </c>
      <c r="C10" s="24">
        <v>0.446826</v>
      </c>
      <c r="D10" s="24">
        <v>0.72533700000000001</v>
      </c>
      <c r="E10" s="24">
        <v>0.51488199999999995</v>
      </c>
      <c r="F10" s="24">
        <v>0.42327999999999999</v>
      </c>
      <c r="G10" s="24">
        <v>0.51488199999999995</v>
      </c>
      <c r="H10" s="24">
        <v>0.72533700000000001</v>
      </c>
      <c r="I10" s="24">
        <v>0.446826</v>
      </c>
    </row>
    <row r="11" spans="1:11" x14ac:dyDescent="0.25">
      <c r="A11" s="18" t="s">
        <v>22</v>
      </c>
      <c r="B11" s="18" t="str">
        <f t="shared" si="0"/>
        <v>|Q2|(-1)</v>
      </c>
      <c r="C11" s="25">
        <v>0.32456000000000002</v>
      </c>
      <c r="D11" s="26">
        <v>0.69254099999999996</v>
      </c>
      <c r="E11" s="25">
        <v>0.51233399999999996</v>
      </c>
      <c r="F11" s="25">
        <v>0.41040900000000002</v>
      </c>
      <c r="G11" s="25">
        <v>0.51627999999999996</v>
      </c>
      <c r="H11" s="26">
        <v>0.69358200000000003</v>
      </c>
      <c r="I11" s="25">
        <v>0.33681299999999997</v>
      </c>
    </row>
    <row r="12" spans="1:11" x14ac:dyDescent="0.25">
      <c r="A12" s="17" t="s">
        <v>23</v>
      </c>
      <c r="B12" s="23" t="str">
        <f t="shared" si="0"/>
        <v>|Q2|(1)</v>
      </c>
      <c r="C12" s="24">
        <v>0.223166</v>
      </c>
      <c r="D12" s="24">
        <v>0.60360499999999995</v>
      </c>
      <c r="E12" s="24">
        <v>0.50362300000000004</v>
      </c>
      <c r="F12" s="24">
        <v>0.443463</v>
      </c>
      <c r="G12" s="24">
        <v>0.50362300000000004</v>
      </c>
      <c r="H12" s="24">
        <v>0.60360499999999995</v>
      </c>
      <c r="I12" s="24">
        <v>0.223166</v>
      </c>
    </row>
    <row r="13" spans="1:11" x14ac:dyDescent="0.25">
      <c r="A13" s="17" t="s">
        <v>24</v>
      </c>
      <c r="B13" s="23" t="str">
        <f t="shared" si="0"/>
        <v>|Q2|(1)</v>
      </c>
      <c r="C13" s="24">
        <v>0.39566800000000002</v>
      </c>
      <c r="D13" s="24">
        <v>0.71402900000000002</v>
      </c>
      <c r="E13" s="24">
        <v>0.51575700000000002</v>
      </c>
      <c r="F13" s="24">
        <v>0.42634300000000003</v>
      </c>
      <c r="G13" s="24">
        <v>0.51575700000000002</v>
      </c>
      <c r="H13" s="24">
        <v>0.71402900000000002</v>
      </c>
      <c r="I13" s="24">
        <v>0.39566800000000002</v>
      </c>
    </row>
    <row r="14" spans="1:11" x14ac:dyDescent="0.25">
      <c r="A14" s="18" t="s">
        <v>25</v>
      </c>
      <c r="B14" s="18" t="str">
        <f t="shared" si="0"/>
        <v>|Q2|(-1)</v>
      </c>
      <c r="C14" s="25">
        <v>0.31167099999999998</v>
      </c>
      <c r="D14" s="26">
        <v>0.68549300000000002</v>
      </c>
      <c r="E14" s="25">
        <v>0.51410400000000001</v>
      </c>
      <c r="F14" s="25">
        <v>0.41233300000000001</v>
      </c>
      <c r="G14" s="25">
        <v>0.51716300000000004</v>
      </c>
      <c r="H14" s="26">
        <v>0.69615199999999999</v>
      </c>
      <c r="I14" s="25">
        <v>0.323467</v>
      </c>
    </row>
    <row r="15" spans="1:11" x14ac:dyDescent="0.25">
      <c r="A15" s="17" t="s">
        <v>26</v>
      </c>
      <c r="B15" s="23" t="str">
        <f t="shared" si="0"/>
        <v>|Q2|(1)</v>
      </c>
      <c r="C15" s="24">
        <v>0.20128599999999999</v>
      </c>
      <c r="D15" s="24">
        <v>0.576484</v>
      </c>
      <c r="E15" s="24">
        <v>0.50192800000000004</v>
      </c>
      <c r="F15" s="24">
        <v>0.45427299999999998</v>
      </c>
      <c r="G15" s="24">
        <v>0.50192800000000004</v>
      </c>
      <c r="H15" s="24">
        <v>0.576484</v>
      </c>
      <c r="I15" s="24">
        <v>0.20128599999999999</v>
      </c>
    </row>
    <row r="16" spans="1:11" x14ac:dyDescent="0.25">
      <c r="A16" s="17" t="s">
        <v>27</v>
      </c>
      <c r="B16" s="23" t="str">
        <f t="shared" si="0"/>
        <v>|Q2|(1)</v>
      </c>
      <c r="C16" s="24">
        <v>0.37418000000000001</v>
      </c>
      <c r="D16" s="24">
        <v>0.70521800000000001</v>
      </c>
      <c r="E16" s="24">
        <v>0.51682300000000003</v>
      </c>
      <c r="F16" s="24">
        <v>0.42907800000000001</v>
      </c>
      <c r="G16" s="24">
        <v>0.51682300000000003</v>
      </c>
      <c r="H16" s="24">
        <v>0.70521800000000001</v>
      </c>
      <c r="I16" s="24">
        <v>0.37418000000000001</v>
      </c>
    </row>
    <row r="17" spans="1:9" x14ac:dyDescent="0.25">
      <c r="A17" s="17" t="s">
        <v>28</v>
      </c>
      <c r="B17" s="23" t="str">
        <f t="shared" si="0"/>
        <v>|Q2|(1)</v>
      </c>
      <c r="C17" s="24">
        <v>0.29870099999999999</v>
      </c>
      <c r="D17" s="24">
        <v>0.68275399999999997</v>
      </c>
      <c r="E17" s="24">
        <v>0.51696900000000001</v>
      </c>
      <c r="F17" s="24">
        <v>0.41373799999999999</v>
      </c>
      <c r="G17" s="24">
        <v>0.51696900000000001</v>
      </c>
      <c r="H17" s="24">
        <v>0.68275399999999997</v>
      </c>
      <c r="I17" s="24">
        <v>0.29870099999999999</v>
      </c>
    </row>
    <row r="18" spans="1:9" x14ac:dyDescent="0.25">
      <c r="A18" s="17" t="s">
        <v>29</v>
      </c>
      <c r="B18" s="23" t="str">
        <f t="shared" si="0"/>
        <v>|Q2|(1)</v>
      </c>
      <c r="C18" s="24">
        <v>0.32597999999999999</v>
      </c>
      <c r="D18" s="24">
        <v>0.69814900000000002</v>
      </c>
      <c r="E18" s="24">
        <v>0.52957399999999999</v>
      </c>
      <c r="F18" s="24">
        <v>0.45052199999999998</v>
      </c>
      <c r="G18" s="24">
        <v>0.52957399999999999</v>
      </c>
      <c r="H18" s="24">
        <v>0.69814900000000002</v>
      </c>
      <c r="I18" s="24">
        <v>0.32597999999999999</v>
      </c>
    </row>
  </sheetData>
  <mergeCells count="3">
    <mergeCell ref="A1:A2"/>
    <mergeCell ref="B1:B2"/>
    <mergeCell ref="C1:I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2F1E-7D24-4B10-8152-2BA4050D5780}">
  <dimension ref="A1:R18"/>
  <sheetViews>
    <sheetView zoomScale="85" zoomScaleNormal="85" workbookViewId="0">
      <selection activeCell="E24" sqref="E24"/>
    </sheetView>
  </sheetViews>
  <sheetFormatPr defaultRowHeight="15" x14ac:dyDescent="0.25"/>
  <cols>
    <col min="1" max="1" width="11.5703125" bestFit="1" customWidth="1"/>
    <col min="2" max="2" width="23.5703125" customWidth="1"/>
    <col min="3" max="3" width="22.28515625" customWidth="1"/>
    <col min="4" max="4" width="13.140625" customWidth="1"/>
    <col min="5" max="5" width="11.85546875" customWidth="1"/>
    <col min="6" max="6" width="10" customWidth="1"/>
    <col min="7" max="7" width="9.7109375" customWidth="1"/>
    <col min="8" max="8" width="8.5703125" customWidth="1"/>
    <col min="10" max="10" width="13.42578125" style="15" customWidth="1"/>
    <col min="11" max="11" width="24.140625" bestFit="1" customWidth="1"/>
    <col min="12" max="12" width="22.28515625" customWidth="1"/>
    <col min="13" max="13" width="13.140625" customWidth="1"/>
    <col min="14" max="14" width="11.85546875" customWidth="1"/>
    <col min="15" max="15" width="10" customWidth="1"/>
    <col min="16" max="16" width="9.7109375" customWidth="1"/>
    <col min="17" max="17" width="10.7109375" customWidth="1"/>
    <col min="18" max="18" width="10.42578125" customWidth="1"/>
  </cols>
  <sheetData>
    <row r="1" spans="1:18" x14ac:dyDescent="0.25">
      <c r="A1" s="44" t="s">
        <v>79</v>
      </c>
      <c r="B1" s="44"/>
      <c r="C1" s="44"/>
      <c r="D1" s="44"/>
      <c r="E1" s="44"/>
      <c r="F1" s="44"/>
      <c r="G1" s="44"/>
    </row>
    <row r="2" spans="1:18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7</v>
      </c>
      <c r="G2" t="s">
        <v>8</v>
      </c>
      <c r="J2" s="16" t="s">
        <v>0</v>
      </c>
      <c r="K2" t="s">
        <v>1</v>
      </c>
      <c r="L2" t="s">
        <v>2</v>
      </c>
      <c r="M2" t="s">
        <v>3</v>
      </c>
      <c r="N2" t="s">
        <v>4</v>
      </c>
      <c r="O2" t="s">
        <v>7</v>
      </c>
      <c r="P2" t="s">
        <v>8</v>
      </c>
      <c r="Q2" t="s">
        <v>15</v>
      </c>
      <c r="R2" t="s">
        <v>16</v>
      </c>
    </row>
    <row r="3" spans="1:18" ht="15.75" x14ac:dyDescent="0.25">
      <c r="A3" t="s">
        <v>21</v>
      </c>
      <c r="B3" s="14">
        <v>1.2415627239045701</v>
      </c>
      <c r="C3" s="14">
        <v>1.3348602478680101</v>
      </c>
      <c r="D3" s="14">
        <v>1.73512971173583</v>
      </c>
      <c r="E3" s="14">
        <v>-0.40923835826764898</v>
      </c>
      <c r="F3" s="14">
        <v>1.03336172037375</v>
      </c>
      <c r="G3" s="14">
        <v>1.01810616753118</v>
      </c>
      <c r="J3" s="16" t="s">
        <v>21</v>
      </c>
      <c r="K3">
        <v>5.5138619999999996</v>
      </c>
      <c r="L3">
        <v>-4.6523110000000001</v>
      </c>
      <c r="M3">
        <v>9.9629169999999991</v>
      </c>
      <c r="N3">
        <v>2.3498000000000001</v>
      </c>
      <c r="O3">
        <v>0.52055700000000005</v>
      </c>
      <c r="P3">
        <v>0.51287199999999999</v>
      </c>
      <c r="Q3">
        <v>0.52055700000000005</v>
      </c>
      <c r="R3">
        <v>0.51287199999999999</v>
      </c>
    </row>
    <row r="4" spans="1:18" ht="15.75" x14ac:dyDescent="0.25">
      <c r="A4" t="s">
        <v>29</v>
      </c>
      <c r="B4" s="14">
        <v>1</v>
      </c>
      <c r="C4" s="14">
        <v>1</v>
      </c>
      <c r="D4" s="14">
        <v>1</v>
      </c>
      <c r="E4" s="14">
        <v>1</v>
      </c>
      <c r="F4" s="14">
        <v>1</v>
      </c>
      <c r="G4" s="14">
        <v>1</v>
      </c>
      <c r="J4" s="16" t="s">
        <v>29</v>
      </c>
      <c r="K4">
        <v>4.4410660000000002</v>
      </c>
      <c r="L4">
        <v>-3.485242</v>
      </c>
      <c r="M4">
        <v>5.741886</v>
      </c>
      <c r="N4">
        <v>-5.741886</v>
      </c>
      <c r="O4">
        <v>0.50375099999999995</v>
      </c>
      <c r="P4">
        <v>0.50375099999999995</v>
      </c>
      <c r="Q4">
        <v>0.50375099999999995</v>
      </c>
      <c r="R4">
        <v>0.50375099999999995</v>
      </c>
    </row>
    <row r="5" spans="1:18" ht="15.75" x14ac:dyDescent="0.25">
      <c r="A5" t="s">
        <v>24</v>
      </c>
      <c r="B5" s="14">
        <v>1.2223549481137999</v>
      </c>
      <c r="C5" s="14">
        <v>1.28279011902186</v>
      </c>
      <c r="D5" s="14">
        <v>2.2796642078926599</v>
      </c>
      <c r="E5" s="14">
        <v>-0.75465953172877309</v>
      </c>
      <c r="F5" s="14">
        <v>1.0159562958683899</v>
      </c>
      <c r="G5" s="14">
        <v>0.99091614706471998</v>
      </c>
      <c r="J5" s="16" t="s">
        <v>24</v>
      </c>
      <c r="K5">
        <v>5.4285589999999999</v>
      </c>
      <c r="L5">
        <v>-4.470834</v>
      </c>
      <c r="M5">
        <v>13.089572</v>
      </c>
      <c r="N5">
        <v>4.3331689999999998</v>
      </c>
      <c r="O5">
        <v>0.51178900000000005</v>
      </c>
      <c r="P5">
        <v>0.49917499999999998</v>
      </c>
      <c r="Q5">
        <v>0.51178900000000005</v>
      </c>
      <c r="R5">
        <v>0.49917499999999998</v>
      </c>
    </row>
    <row r="6" spans="1:18" ht="15.75" x14ac:dyDescent="0.25">
      <c r="A6" t="s">
        <v>27</v>
      </c>
      <c r="B6" s="14">
        <v>1.2015932661212401</v>
      </c>
      <c r="C6" s="14">
        <v>1.2338147537531099</v>
      </c>
      <c r="D6" s="14">
        <v>2.23554159730792</v>
      </c>
      <c r="E6" s="14">
        <v>-0.94512203829891406</v>
      </c>
      <c r="F6" s="14">
        <v>1.00481190111781</v>
      </c>
      <c r="G6" s="14">
        <v>0.96793455496862502</v>
      </c>
      <c r="J6" s="16" t="s">
        <v>27</v>
      </c>
      <c r="K6">
        <v>5.3363550000000002</v>
      </c>
      <c r="L6">
        <v>-4.3001429999999896</v>
      </c>
      <c r="M6">
        <v>12.836225000000001</v>
      </c>
      <c r="N6">
        <v>5.4267830000000004</v>
      </c>
      <c r="O6">
        <v>0.50617500000000004</v>
      </c>
      <c r="P6">
        <v>0.48759799999999998</v>
      </c>
      <c r="Q6">
        <v>0.50617500000000004</v>
      </c>
      <c r="R6">
        <v>0.48759799999999998</v>
      </c>
    </row>
    <row r="7" spans="1:18" ht="15.75" x14ac:dyDescent="0.25">
      <c r="A7" t="s">
        <v>22</v>
      </c>
      <c r="B7" s="14">
        <v>1.0033147447031801</v>
      </c>
      <c r="C7" s="14">
        <v>0.9460714636171601</v>
      </c>
      <c r="D7" s="14">
        <v>0.93005608261814998</v>
      </c>
      <c r="E7" s="14">
        <v>0.92924241268461205</v>
      </c>
      <c r="F7" s="14">
        <v>0.98092907011598995</v>
      </c>
      <c r="G7" s="14">
        <v>0.96263233224350897</v>
      </c>
      <c r="J7" s="16" t="s">
        <v>22</v>
      </c>
      <c r="K7">
        <v>4.4557869999999999</v>
      </c>
      <c r="L7">
        <v>-3.297288</v>
      </c>
      <c r="M7">
        <v>5.3402760000000002</v>
      </c>
      <c r="N7">
        <v>-5.335604</v>
      </c>
      <c r="O7">
        <v>0.49414400000000003</v>
      </c>
      <c r="P7">
        <v>0.484927</v>
      </c>
      <c r="Q7">
        <v>0.50279300000000005</v>
      </c>
      <c r="R7">
        <v>0.49321300000000001</v>
      </c>
    </row>
    <row r="8" spans="1:18" ht="15.75" x14ac:dyDescent="0.25">
      <c r="A8" t="s">
        <v>25</v>
      </c>
      <c r="B8" s="14">
        <v>1.03521902173937</v>
      </c>
      <c r="C8" s="14">
        <v>1.0128949438805099</v>
      </c>
      <c r="D8" s="14">
        <v>1.5514782076829801</v>
      </c>
      <c r="E8" s="14">
        <v>1.3739065874870999</v>
      </c>
      <c r="F8" s="14">
        <v>0.975662579329867</v>
      </c>
      <c r="G8" s="14">
        <v>0.95540852524362196</v>
      </c>
      <c r="J8" s="16" t="s">
        <v>25</v>
      </c>
      <c r="K8">
        <v>4.5974760000000003</v>
      </c>
      <c r="L8">
        <v>-3.5301840000000002</v>
      </c>
      <c r="M8">
        <v>8.9084109999999992</v>
      </c>
      <c r="N8">
        <v>-7.8888150000000001</v>
      </c>
      <c r="O8">
        <v>0.49149100000000001</v>
      </c>
      <c r="P8">
        <v>0.48128799999999999</v>
      </c>
      <c r="Q8">
        <v>0.50527100000000003</v>
      </c>
      <c r="R8">
        <v>0.49395099999999997</v>
      </c>
    </row>
    <row r="9" spans="1:18" ht="15.75" x14ac:dyDescent="0.25">
      <c r="A9" t="s">
        <v>28</v>
      </c>
      <c r="B9" s="14">
        <v>1.02195058573774</v>
      </c>
      <c r="C9" s="14">
        <v>0.98369869294585499</v>
      </c>
      <c r="D9" s="14">
        <v>1.4547242839722001</v>
      </c>
      <c r="E9" s="14">
        <v>1.05887943438793</v>
      </c>
      <c r="F9" s="14">
        <v>0.97803279794977993</v>
      </c>
      <c r="G9" s="14">
        <v>0.95398123279159708</v>
      </c>
      <c r="J9" s="16" t="s">
        <v>28</v>
      </c>
      <c r="K9">
        <v>4.5385499999999999</v>
      </c>
      <c r="L9">
        <v>-3.4284279999999998</v>
      </c>
      <c r="M9">
        <v>8.3528610000000008</v>
      </c>
      <c r="N9">
        <v>-6.0799649999999996</v>
      </c>
      <c r="O9">
        <v>0.49268499999999998</v>
      </c>
      <c r="P9">
        <v>0.48056900000000002</v>
      </c>
      <c r="Q9">
        <v>0.49268499999999998</v>
      </c>
      <c r="R9">
        <v>0.48056900000000002</v>
      </c>
    </row>
    <row r="10" spans="1:18" ht="15.75" x14ac:dyDescent="0.25">
      <c r="A10" t="s">
        <v>77</v>
      </c>
      <c r="B10" s="14">
        <v>1.00984403294164</v>
      </c>
      <c r="C10" s="14">
        <v>1.0808896484089099</v>
      </c>
      <c r="D10" s="14">
        <v>2.5194761790812201</v>
      </c>
      <c r="E10" s="14">
        <v>1.7472309620915498</v>
      </c>
      <c r="F10" s="14">
        <v>0.96674547544322498</v>
      </c>
      <c r="G10" s="14">
        <v>0.947533602910962</v>
      </c>
      <c r="J10" s="16" t="s">
        <v>77</v>
      </c>
      <c r="K10">
        <v>4.4847839999999897</v>
      </c>
      <c r="L10">
        <v>-3.7671619999999999</v>
      </c>
      <c r="M10">
        <v>14.466545</v>
      </c>
      <c r="N10">
        <v>-10.032401</v>
      </c>
      <c r="O10">
        <v>0.48699900000000002</v>
      </c>
      <c r="P10">
        <v>0.477321</v>
      </c>
      <c r="Q10">
        <v>0.48699900000000002</v>
      </c>
      <c r="R10">
        <v>0.477321</v>
      </c>
    </row>
    <row r="11" spans="1:18" ht="15.75" x14ac:dyDescent="0.25">
      <c r="A11" t="s">
        <v>78</v>
      </c>
      <c r="B11" s="14">
        <v>0.97706721764549298</v>
      </c>
      <c r="C11" s="14">
        <v>1.0254662373516599</v>
      </c>
      <c r="D11" s="14">
        <v>2.5256262489363199</v>
      </c>
      <c r="E11" s="14">
        <v>1.0880822085286901</v>
      </c>
      <c r="F11" s="14">
        <v>0.96186211044742298</v>
      </c>
      <c r="G11" s="14">
        <v>0.94043088748210901</v>
      </c>
      <c r="J11" s="16" t="s">
        <v>78</v>
      </c>
      <c r="K11">
        <v>4.3392200000000001</v>
      </c>
      <c r="L11">
        <v>-3.5739979999999898</v>
      </c>
      <c r="M11">
        <v>14.501858</v>
      </c>
      <c r="N11">
        <v>-6.2476440000000002</v>
      </c>
      <c r="O11">
        <v>0.484539</v>
      </c>
      <c r="P11">
        <v>0.47374300000000003</v>
      </c>
      <c r="Q11">
        <v>0.484539</v>
      </c>
      <c r="R11">
        <v>0.47374300000000003</v>
      </c>
    </row>
    <row r="12" spans="1:18" ht="15.75" x14ac:dyDescent="0.25">
      <c r="A12" t="s">
        <v>75</v>
      </c>
      <c r="B12" s="14">
        <v>0.96183348772569399</v>
      </c>
      <c r="C12" s="14">
        <v>1.01844577794024</v>
      </c>
      <c r="D12" s="14">
        <v>0.901746046508063</v>
      </c>
      <c r="E12" s="14">
        <v>0.89270406970810601</v>
      </c>
      <c r="F12" s="14">
        <v>0.94459564348259306</v>
      </c>
      <c r="G12" s="14">
        <v>0.93707010010898206</v>
      </c>
      <c r="J12" s="16" t="s">
        <v>75</v>
      </c>
      <c r="K12">
        <v>4.271566</v>
      </c>
      <c r="L12">
        <v>-3.5495299999999999</v>
      </c>
      <c r="M12">
        <v>5.1777230000000003</v>
      </c>
      <c r="N12">
        <v>-5.1258049999999997</v>
      </c>
      <c r="O12">
        <v>0.47584100000000001</v>
      </c>
      <c r="P12">
        <v>0.47205000000000003</v>
      </c>
      <c r="Q12">
        <v>0.47584100000000001</v>
      </c>
      <c r="R12">
        <v>0.47205000000000003</v>
      </c>
    </row>
    <row r="13" spans="1:18" ht="15.75" x14ac:dyDescent="0.25">
      <c r="A13" t="s">
        <v>74</v>
      </c>
      <c r="B13" s="14">
        <v>1.0316505091345101</v>
      </c>
      <c r="C13" s="14">
        <v>1.0828126138730101</v>
      </c>
      <c r="D13" s="14">
        <v>1.2628671136974801</v>
      </c>
      <c r="E13" s="14">
        <v>1.25605193136889</v>
      </c>
      <c r="F13" s="14">
        <v>0.91383044400904401</v>
      </c>
      <c r="G13" s="14">
        <v>0.8756032246089831</v>
      </c>
      <c r="J13" s="16" t="s">
        <v>74</v>
      </c>
      <c r="K13">
        <v>4.5816279999999896</v>
      </c>
      <c r="L13">
        <v>-3.7738640000000001</v>
      </c>
      <c r="M13">
        <v>7.251239</v>
      </c>
      <c r="N13">
        <v>-7.2121069999999996</v>
      </c>
      <c r="O13">
        <v>0.460343</v>
      </c>
      <c r="P13">
        <v>0.44108599999999998</v>
      </c>
      <c r="Q13">
        <v>0.460343</v>
      </c>
      <c r="R13">
        <v>0.44108599999999998</v>
      </c>
    </row>
    <row r="14" spans="1:18" ht="15.75" x14ac:dyDescent="0.25">
      <c r="A14" t="s">
        <v>20</v>
      </c>
      <c r="B14" s="14">
        <v>0.81893964196884195</v>
      </c>
      <c r="C14" s="14">
        <v>0.70289724501196704</v>
      </c>
      <c r="D14" s="14">
        <v>2.87725792535762</v>
      </c>
      <c r="E14" s="14">
        <v>2.59299157106219</v>
      </c>
      <c r="F14" s="14">
        <v>0.88848260350847896</v>
      </c>
      <c r="G14" s="14">
        <v>0.87368561054965599</v>
      </c>
      <c r="J14" s="16" t="s">
        <v>20</v>
      </c>
      <c r="K14">
        <v>3.636965</v>
      </c>
      <c r="L14">
        <v>-2.4497669999999898</v>
      </c>
      <c r="M14">
        <v>16.520886999999998</v>
      </c>
      <c r="N14">
        <v>-14.888662</v>
      </c>
      <c r="O14">
        <v>0.44757400000000003</v>
      </c>
      <c r="P14">
        <v>0.44012000000000001</v>
      </c>
      <c r="Q14">
        <v>0.44757400000000003</v>
      </c>
      <c r="R14">
        <v>0.44012000000000001</v>
      </c>
    </row>
    <row r="15" spans="1:18" ht="15.75" x14ac:dyDescent="0.25">
      <c r="A15" t="s">
        <v>76</v>
      </c>
      <c r="B15" s="14">
        <v>0.94000269304711903</v>
      </c>
      <c r="C15" s="14">
        <v>0.92262230284152391</v>
      </c>
      <c r="D15" s="14">
        <v>2.7471339556375698</v>
      </c>
      <c r="E15" s="14">
        <v>0.20312367748158</v>
      </c>
      <c r="F15" s="14">
        <v>0.90480217408997698</v>
      </c>
      <c r="G15" s="14">
        <v>0.83623059805340305</v>
      </c>
      <c r="J15" s="16" t="s">
        <v>76</v>
      </c>
      <c r="K15">
        <v>4.174614</v>
      </c>
      <c r="L15">
        <v>-3.2155619999999998</v>
      </c>
      <c r="M15">
        <v>15.77373</v>
      </c>
      <c r="N15">
        <v>-1.1663129999999999</v>
      </c>
      <c r="O15">
        <v>0.45579500000000001</v>
      </c>
      <c r="P15">
        <v>0.42125200000000002</v>
      </c>
      <c r="Q15">
        <v>0.45579500000000001</v>
      </c>
      <c r="R15">
        <v>0.42125200000000002</v>
      </c>
    </row>
    <row r="16" spans="1:18" ht="15.75" x14ac:dyDescent="0.25">
      <c r="A16" t="s">
        <v>23</v>
      </c>
      <c r="B16" s="14">
        <v>0.78221422514324201</v>
      </c>
      <c r="C16" s="14">
        <v>0.62660383410965403</v>
      </c>
      <c r="D16" s="14">
        <v>2.2818572155560002</v>
      </c>
      <c r="E16" s="14">
        <v>2.0353251527459699</v>
      </c>
      <c r="F16" s="14">
        <v>0.83350703025899708</v>
      </c>
      <c r="G16" s="14">
        <v>0.82168968399070097</v>
      </c>
      <c r="J16" s="16" t="s">
        <v>23</v>
      </c>
      <c r="K16">
        <v>3.473865</v>
      </c>
      <c r="L16">
        <v>-2.1838660000000001</v>
      </c>
      <c r="M16">
        <v>13.102164</v>
      </c>
      <c r="N16">
        <v>-11.686605</v>
      </c>
      <c r="O16">
        <v>0.41987999999999998</v>
      </c>
      <c r="P16">
        <v>0.41392699999999999</v>
      </c>
      <c r="Q16">
        <v>0.41987999999999998</v>
      </c>
      <c r="R16">
        <v>0.41392699999999999</v>
      </c>
    </row>
    <row r="17" spans="1:18" ht="15.75" x14ac:dyDescent="0.25">
      <c r="A17" t="s">
        <v>19</v>
      </c>
      <c r="B17" s="14">
        <v>0.87482509829847099</v>
      </c>
      <c r="C17" s="14">
        <v>0.78717977116079696</v>
      </c>
      <c r="D17" s="14">
        <v>2.8548665020517596</v>
      </c>
      <c r="E17" s="14">
        <v>-0.58971007087218297</v>
      </c>
      <c r="F17" s="14">
        <v>0.89852923368886595</v>
      </c>
      <c r="G17" s="14">
        <v>0.79798948289928906</v>
      </c>
      <c r="J17" s="16" t="s">
        <v>19</v>
      </c>
      <c r="K17">
        <v>3.8851559999999998</v>
      </c>
      <c r="L17">
        <v>-2.743512</v>
      </c>
      <c r="M17">
        <v>16.392318</v>
      </c>
      <c r="N17">
        <v>3.3860480000000002</v>
      </c>
      <c r="O17">
        <v>0.45263500000000001</v>
      </c>
      <c r="P17">
        <v>0.40198800000000001</v>
      </c>
      <c r="Q17">
        <v>0.45263500000000001</v>
      </c>
      <c r="R17">
        <v>0.40198800000000001</v>
      </c>
    </row>
    <row r="18" spans="1:18" ht="15.75" x14ac:dyDescent="0.25">
      <c r="A18" t="s">
        <v>26</v>
      </c>
      <c r="B18" s="14">
        <v>0.75374966280618194</v>
      </c>
      <c r="C18" s="14">
        <v>0.55936173155264302</v>
      </c>
      <c r="D18" s="14">
        <v>1.65588083775957</v>
      </c>
      <c r="E18" s="14">
        <v>1.5611114536234201</v>
      </c>
      <c r="F18" s="14">
        <v>0.78894533211844697</v>
      </c>
      <c r="G18" s="14">
        <v>0.76788333918940099</v>
      </c>
      <c r="J18" s="16" t="s">
        <v>26</v>
      </c>
      <c r="K18">
        <v>3.3474519999999899</v>
      </c>
      <c r="L18">
        <v>-1.949511</v>
      </c>
      <c r="M18">
        <v>9.5078790000000009</v>
      </c>
      <c r="N18">
        <v>-8.9637239999999991</v>
      </c>
      <c r="O18">
        <v>0.39743200000000001</v>
      </c>
      <c r="P18">
        <v>0.386822</v>
      </c>
      <c r="Q18">
        <v>0.39743200000000001</v>
      </c>
      <c r="R18">
        <v>0.386822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8695-8F16-452B-8563-FBB0F9AD9C57}">
  <dimension ref="A1:AQ18"/>
  <sheetViews>
    <sheetView zoomScale="55" zoomScaleNormal="55" workbookViewId="0">
      <selection activeCell="P4" sqref="P4"/>
    </sheetView>
  </sheetViews>
  <sheetFormatPr defaultColWidth="10.5703125" defaultRowHeight="15" x14ac:dyDescent="0.25"/>
  <cols>
    <col min="1" max="1" width="4.85546875" style="7" bestFit="1" customWidth="1"/>
    <col min="2" max="2" width="7.85546875" style="7" bestFit="1" customWidth="1"/>
    <col min="3" max="3" width="8.7109375" style="7" bestFit="1" customWidth="1"/>
    <col min="4" max="5" width="6.140625" style="7" hidden="1" customWidth="1"/>
    <col min="6" max="6" width="8.85546875" style="7" bestFit="1" customWidth="1"/>
    <col min="7" max="8" width="6.140625" style="7" hidden="1" customWidth="1"/>
    <col min="9" max="9" width="7.140625" style="7" hidden="1" customWidth="1"/>
    <col min="10" max="10" width="6.85546875" style="7" hidden="1" customWidth="1"/>
    <col min="11" max="11" width="6.140625" style="7" hidden="1" customWidth="1"/>
    <col min="12" max="12" width="5.7109375" style="7" bestFit="1" customWidth="1"/>
    <col min="13" max="13" width="6.140625" style="7" hidden="1" customWidth="1"/>
    <col min="14" max="14" width="5.85546875" style="7" bestFit="1" customWidth="1"/>
    <col min="15" max="15" width="11.85546875" style="7" hidden="1" customWidth="1"/>
    <col min="16" max="16" width="25.85546875" style="7" bestFit="1" customWidth="1"/>
    <col min="17" max="17" width="10" style="7" hidden="1" customWidth="1"/>
    <col min="18" max="18" width="25.7109375" style="7" bestFit="1" customWidth="1"/>
    <col min="19" max="19" width="12.42578125" style="7" hidden="1" customWidth="1"/>
    <col min="20" max="20" width="25.7109375" style="7" bestFit="1" customWidth="1"/>
    <col min="21" max="16384" width="10.5703125" style="7"/>
  </cols>
  <sheetData>
    <row r="1" spans="1:43" x14ac:dyDescent="0.25">
      <c r="C1" s="45" t="s">
        <v>67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Z1" s="45" t="s">
        <v>67</v>
      </c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</row>
    <row r="2" spans="1:43" s="12" customFormat="1" x14ac:dyDescent="0.25">
      <c r="B2" s="11" t="s">
        <v>39</v>
      </c>
      <c r="C2" s="13" t="s">
        <v>40</v>
      </c>
      <c r="D2" s="13" t="s">
        <v>41</v>
      </c>
      <c r="E2" s="13" t="s">
        <v>42</v>
      </c>
      <c r="F2" s="13" t="s">
        <v>49</v>
      </c>
      <c r="G2" s="13" t="s">
        <v>50</v>
      </c>
      <c r="H2" s="13" t="s">
        <v>51</v>
      </c>
      <c r="I2" s="13" t="s">
        <v>68</v>
      </c>
      <c r="J2" s="13" t="s">
        <v>69</v>
      </c>
      <c r="K2" s="13" t="s">
        <v>70</v>
      </c>
      <c r="L2" s="13" t="s">
        <v>71</v>
      </c>
      <c r="M2" s="13" t="s">
        <v>72</v>
      </c>
      <c r="N2" s="13" t="s">
        <v>73</v>
      </c>
      <c r="O2" s="13" t="s">
        <v>52</v>
      </c>
      <c r="P2" s="13" t="s">
        <v>83</v>
      </c>
      <c r="Q2" s="13" t="s">
        <v>82</v>
      </c>
      <c r="R2" s="13" t="s">
        <v>82</v>
      </c>
      <c r="S2" s="13" t="s">
        <v>81</v>
      </c>
      <c r="T2" s="13" t="s">
        <v>81</v>
      </c>
      <c r="V2"/>
      <c r="W2"/>
      <c r="Y2" s="11" t="s">
        <v>39</v>
      </c>
      <c r="Z2" s="13" t="s">
        <v>40</v>
      </c>
      <c r="AA2" s="13" t="s">
        <v>41</v>
      </c>
      <c r="AB2" s="13" t="s">
        <v>42</v>
      </c>
      <c r="AC2" s="13" t="s">
        <v>49</v>
      </c>
      <c r="AD2" s="13" t="s">
        <v>50</v>
      </c>
      <c r="AE2" s="13" t="s">
        <v>51</v>
      </c>
      <c r="AF2" s="13" t="s">
        <v>68</v>
      </c>
      <c r="AG2" s="13" t="s">
        <v>69</v>
      </c>
      <c r="AH2" s="13" t="s">
        <v>70</v>
      </c>
      <c r="AI2" s="13" t="s">
        <v>71</v>
      </c>
      <c r="AJ2" s="13" t="s">
        <v>72</v>
      </c>
      <c r="AK2" s="13" t="s">
        <v>73</v>
      </c>
      <c r="AL2" s="13" t="s">
        <v>52</v>
      </c>
      <c r="AM2" s="13" t="s">
        <v>83</v>
      </c>
      <c r="AN2" s="13" t="s">
        <v>82</v>
      </c>
      <c r="AO2" s="13" t="s">
        <v>82</v>
      </c>
      <c r="AP2" s="13" t="s">
        <v>81</v>
      </c>
      <c r="AQ2" s="13" t="s">
        <v>81</v>
      </c>
    </row>
    <row r="3" spans="1:43" x14ac:dyDescent="0.25">
      <c r="A3" s="46" t="s">
        <v>66</v>
      </c>
      <c r="B3" s="7" t="s">
        <v>43</v>
      </c>
      <c r="C3" s="27">
        <v>0.998</v>
      </c>
      <c r="D3" s="27">
        <v>2E-3</v>
      </c>
      <c r="E3" s="27">
        <v>0</v>
      </c>
      <c r="F3" s="27">
        <v>0.92500000000000004</v>
      </c>
      <c r="G3" s="27">
        <v>7.4999999999999997E-2</v>
      </c>
      <c r="H3" s="27">
        <v>0</v>
      </c>
      <c r="I3" s="27">
        <v>0.89400000000000002</v>
      </c>
      <c r="J3" s="27">
        <v>0.89400000000000002</v>
      </c>
      <c r="K3" s="27">
        <v>0</v>
      </c>
      <c r="L3" s="27">
        <v>1</v>
      </c>
      <c r="M3" s="27">
        <v>4.7899999999999998E-2</v>
      </c>
      <c r="N3" s="27">
        <v>7.17E-2</v>
      </c>
      <c r="O3" s="8">
        <v>-7.9</v>
      </c>
      <c r="P3" s="27">
        <f>Tabela11[[#This Row],[NICS(0)]]/$O$3</f>
        <v>1</v>
      </c>
      <c r="Q3" s="27">
        <v>-9.99</v>
      </c>
      <c r="R3" s="27">
        <f>Tabela11[[#This Row],[NICS(1)]]/$Q$3</f>
        <v>1</v>
      </c>
      <c r="S3" s="27">
        <v>-30</v>
      </c>
      <c r="T3" s="27">
        <f>Tabela11[[#This Row],[Coluna7]]/$S$3</f>
        <v>1</v>
      </c>
      <c r="V3" s="14"/>
      <c r="W3" s="14"/>
      <c r="X3" s="46" t="s">
        <v>66</v>
      </c>
      <c r="Y3" s="7" t="s">
        <v>43</v>
      </c>
      <c r="Z3" s="27">
        <v>0.998</v>
      </c>
      <c r="AA3" s="27">
        <v>2E-3</v>
      </c>
      <c r="AB3" s="27">
        <v>0</v>
      </c>
      <c r="AC3" s="27">
        <v>0.92500000000000004</v>
      </c>
      <c r="AD3" s="27">
        <v>7.4999999999999997E-2</v>
      </c>
      <c r="AE3" s="27">
        <v>0</v>
      </c>
      <c r="AF3" s="27">
        <v>0.89400000000000002</v>
      </c>
      <c r="AG3" s="27">
        <v>0.89400000000000002</v>
      </c>
      <c r="AH3" s="27">
        <v>0</v>
      </c>
      <c r="AI3" s="27">
        <v>1</v>
      </c>
      <c r="AJ3" s="27">
        <v>4.7899999999999998E-2</v>
      </c>
      <c r="AK3" s="27">
        <v>7.17E-2</v>
      </c>
      <c r="AL3" s="8">
        <v>-7.9</v>
      </c>
      <c r="AM3" s="27">
        <f>Tabela1118[[#This Row],[NICS(0)]]/$O$3</f>
        <v>1</v>
      </c>
      <c r="AN3" s="27">
        <v>-9.99</v>
      </c>
      <c r="AO3" s="27">
        <f>Tabela1118[[#This Row],[NICS(1)]]/$Q$3</f>
        <v>1</v>
      </c>
      <c r="AP3" s="27">
        <v>-30</v>
      </c>
      <c r="AQ3" s="27">
        <f>Tabela1118[[#This Row],[Coluna7]]/$S$3</f>
        <v>1</v>
      </c>
    </row>
    <row r="4" spans="1:43" x14ac:dyDescent="0.25">
      <c r="A4" s="46"/>
      <c r="B4" s="7" t="s">
        <v>44</v>
      </c>
      <c r="C4" s="27">
        <v>0.997</v>
      </c>
      <c r="D4" s="27">
        <v>1E-3</v>
      </c>
      <c r="E4" s="27">
        <v>2E-3</v>
      </c>
      <c r="F4" s="27">
        <v>0.90700000000000003</v>
      </c>
      <c r="G4" s="27">
        <v>0.09</v>
      </c>
      <c r="H4" s="27">
        <v>3.0000000000000001E-3</v>
      </c>
      <c r="I4" s="27">
        <v>0.89300000000000002</v>
      </c>
      <c r="J4" s="27">
        <v>0.875</v>
      </c>
      <c r="K4" s="27">
        <v>1.7999999999999999E-2</v>
      </c>
      <c r="L4" s="27">
        <v>0.98199999999999998</v>
      </c>
      <c r="M4" s="27">
        <v>4.5499999999999999E-2</v>
      </c>
      <c r="N4" s="27">
        <v>6.7900000000000002E-2</v>
      </c>
      <c r="O4" s="8">
        <v>-7.84</v>
      </c>
      <c r="P4" s="27">
        <f>Tabela11[[#This Row],[NICS(0)]]/$O$3</f>
        <v>0.9924050632911392</v>
      </c>
      <c r="Q4" s="27">
        <v>-9.84</v>
      </c>
      <c r="R4" s="27">
        <f>Tabela11[[#This Row],[NICS(1)]]/$Q$3</f>
        <v>0.98498498498498499</v>
      </c>
      <c r="S4" s="27">
        <v>-28.87</v>
      </c>
      <c r="T4" s="27">
        <f>Tabela11[[#This Row],[Coluna7]]/$S$3</f>
        <v>0.96233333333333337</v>
      </c>
      <c r="V4" s="14"/>
      <c r="W4" s="14"/>
      <c r="X4" s="46"/>
      <c r="Y4" s="7" t="s">
        <v>44</v>
      </c>
      <c r="Z4" s="27">
        <v>0.997</v>
      </c>
      <c r="AA4" s="27">
        <v>1E-3</v>
      </c>
      <c r="AB4" s="27">
        <v>2E-3</v>
      </c>
      <c r="AC4" s="27">
        <v>0.90700000000000003</v>
      </c>
      <c r="AD4" s="27">
        <v>0.09</v>
      </c>
      <c r="AE4" s="27">
        <v>3.0000000000000001E-3</v>
      </c>
      <c r="AF4" s="27">
        <v>0.89300000000000002</v>
      </c>
      <c r="AG4" s="27">
        <v>0.875</v>
      </c>
      <c r="AH4" s="27">
        <v>1.7999999999999999E-2</v>
      </c>
      <c r="AI4" s="27">
        <v>0.98199999999999998</v>
      </c>
      <c r="AJ4" s="27">
        <v>4.5499999999999999E-2</v>
      </c>
      <c r="AK4" s="27">
        <v>6.7900000000000002E-2</v>
      </c>
      <c r="AL4" s="8">
        <v>-7.84</v>
      </c>
      <c r="AM4" s="27">
        <f>Tabela1118[[#This Row],[NICS(0)]]/$O$3</f>
        <v>0.9924050632911392</v>
      </c>
      <c r="AN4" s="27">
        <v>-9.84</v>
      </c>
      <c r="AO4" s="27">
        <f>Tabela1118[[#This Row],[NICS(1)]]/$Q$3</f>
        <v>0.98498498498498499</v>
      </c>
      <c r="AP4" s="27">
        <v>-28.87</v>
      </c>
      <c r="AQ4" s="27">
        <f>Tabela1118[[#This Row],[Coluna7]]/$S$3</f>
        <v>0.96233333333333337</v>
      </c>
    </row>
    <row r="5" spans="1:43" ht="21" x14ac:dyDescent="0.25">
      <c r="A5" s="46"/>
      <c r="B5" s="7" t="s">
        <v>63</v>
      </c>
      <c r="C5" s="27">
        <v>0.70199999999999996</v>
      </c>
      <c r="D5" s="27">
        <v>7.4999999999999997E-2</v>
      </c>
      <c r="E5" s="27">
        <v>0.223</v>
      </c>
      <c r="F5" s="27">
        <v>0.58699999999999997</v>
      </c>
      <c r="G5" s="27">
        <v>0.26600000000000001</v>
      </c>
      <c r="H5" s="27">
        <v>0.14799999999999999</v>
      </c>
      <c r="I5" s="27">
        <v>0.92200000000000004</v>
      </c>
      <c r="J5" s="27">
        <v>0.56799999999999995</v>
      </c>
      <c r="K5" s="27">
        <v>0.35399999999999998</v>
      </c>
      <c r="L5" s="27">
        <v>0.64600000000000002</v>
      </c>
      <c r="M5" s="27">
        <v>2.3E-2</v>
      </c>
      <c r="N5" s="27">
        <v>3.0599999999999999E-2</v>
      </c>
      <c r="O5" s="8">
        <v>1.75</v>
      </c>
      <c r="P5" s="27">
        <f>Tabela11[[#This Row],[NICS(0)]]/$O$3</f>
        <v>-0.22151898734177214</v>
      </c>
      <c r="Q5" s="27">
        <v>-0.74</v>
      </c>
      <c r="R5" s="27">
        <f>Tabela11[[#This Row],[NICS(1)]]/$Q$3</f>
        <v>7.407407407407407E-2</v>
      </c>
      <c r="S5" s="27">
        <v>-3.32</v>
      </c>
      <c r="T5" s="27">
        <f>Tabela11[[#This Row],[Coluna7]]/$S$3</f>
        <v>0.11066666666666666</v>
      </c>
      <c r="V5" s="14"/>
      <c r="W5" s="14"/>
      <c r="X5" s="46"/>
      <c r="Y5" s="7" t="s">
        <v>63</v>
      </c>
      <c r="Z5" s="27">
        <v>0.70199999999999996</v>
      </c>
      <c r="AA5" s="27">
        <v>7.4999999999999997E-2</v>
      </c>
      <c r="AB5" s="27">
        <v>0.223</v>
      </c>
      <c r="AC5" s="27">
        <v>0.58699999999999997</v>
      </c>
      <c r="AD5" s="27">
        <v>0.26600000000000001</v>
      </c>
      <c r="AE5" s="27">
        <v>0.14799999999999999</v>
      </c>
      <c r="AF5" s="27">
        <v>0.92200000000000004</v>
      </c>
      <c r="AG5" s="27">
        <v>0.56799999999999995</v>
      </c>
      <c r="AH5" s="27">
        <v>0.35399999999999998</v>
      </c>
      <c r="AI5" s="27">
        <v>0.64600000000000002</v>
      </c>
      <c r="AJ5" s="27">
        <v>2.3E-2</v>
      </c>
      <c r="AK5" s="27">
        <v>3.0599999999999999E-2</v>
      </c>
      <c r="AL5" s="8">
        <v>1.75</v>
      </c>
      <c r="AM5" s="27">
        <f>Tabela1118[[#This Row],[NICS(0)]]/$O$3</f>
        <v>-0.22151898734177214</v>
      </c>
      <c r="AN5" s="27">
        <v>-0.74</v>
      </c>
      <c r="AO5" s="27">
        <f>Tabela1118[[#This Row],[NICS(1)]]/$Q$3</f>
        <v>7.407407407407407E-2</v>
      </c>
      <c r="AP5" s="27">
        <v>-3.32</v>
      </c>
      <c r="AQ5" s="27">
        <f>Tabela1118[[#This Row],[Coluna7]]/$S$3</f>
        <v>0.11066666666666666</v>
      </c>
    </row>
    <row r="6" spans="1:43" ht="18" x14ac:dyDescent="0.25">
      <c r="A6" s="46"/>
      <c r="B6" s="7" t="s">
        <v>64</v>
      </c>
      <c r="C6" s="27">
        <v>0.74299999999999999</v>
      </c>
      <c r="D6" s="27">
        <v>3.1E-2</v>
      </c>
      <c r="E6" s="27">
        <v>0.22600000000000001</v>
      </c>
      <c r="F6" s="27">
        <v>0.70899999999999996</v>
      </c>
      <c r="G6" s="27">
        <v>0.13400000000000001</v>
      </c>
      <c r="H6" s="27">
        <v>0.157</v>
      </c>
      <c r="I6" s="27">
        <v>0.97899999999999998</v>
      </c>
      <c r="J6" s="27">
        <v>0.60399999999999998</v>
      </c>
      <c r="K6" s="27">
        <v>0.375</v>
      </c>
      <c r="L6" s="27">
        <v>0.625</v>
      </c>
      <c r="M6" s="27">
        <v>2.2499999999999999E-2</v>
      </c>
      <c r="N6" s="27">
        <v>2.6200000000000001E-2</v>
      </c>
      <c r="O6" s="8">
        <v>-1.28</v>
      </c>
      <c r="P6" s="27">
        <f>Tabela11[[#This Row],[NICS(0)]]/$O$3</f>
        <v>0.16202531645569621</v>
      </c>
      <c r="Q6" s="27">
        <v>-5.8</v>
      </c>
      <c r="R6" s="27">
        <f>Tabela11[[#This Row],[NICS(1)]]/$Q$3</f>
        <v>0.5805805805805806</v>
      </c>
      <c r="S6" s="27">
        <v>-15.05</v>
      </c>
      <c r="T6" s="27">
        <f>Tabela11[[#This Row],[Coluna7]]/$S$3</f>
        <v>0.50166666666666671</v>
      </c>
      <c r="V6" s="14"/>
      <c r="W6" s="14"/>
      <c r="X6" s="46"/>
      <c r="Y6" s="7" t="s">
        <v>64</v>
      </c>
      <c r="Z6" s="27">
        <v>0.74299999999999999</v>
      </c>
      <c r="AA6" s="27">
        <v>3.1E-2</v>
      </c>
      <c r="AB6" s="27">
        <v>0.22600000000000001</v>
      </c>
      <c r="AC6" s="27">
        <v>0.70899999999999996</v>
      </c>
      <c r="AD6" s="27">
        <v>0.13400000000000001</v>
      </c>
      <c r="AE6" s="27">
        <v>0.157</v>
      </c>
      <c r="AF6" s="27">
        <v>0.97899999999999998</v>
      </c>
      <c r="AG6" s="27">
        <v>0.60399999999999998</v>
      </c>
      <c r="AH6" s="27">
        <v>0.375</v>
      </c>
      <c r="AI6" s="27">
        <v>0.625</v>
      </c>
      <c r="AJ6" s="27">
        <v>2.2499999999999999E-2</v>
      </c>
      <c r="AK6" s="27">
        <v>2.6200000000000001E-2</v>
      </c>
      <c r="AL6" s="8">
        <v>-1.28</v>
      </c>
      <c r="AM6" s="27">
        <f>Tabela1118[[#This Row],[NICS(0)]]/$O$3</f>
        <v>0.16202531645569621</v>
      </c>
      <c r="AN6" s="27">
        <v>-5.8</v>
      </c>
      <c r="AO6" s="27">
        <f>Tabela1118[[#This Row],[NICS(1)]]/$Q$3</f>
        <v>0.5805805805805806</v>
      </c>
      <c r="AP6" s="27">
        <v>-15.05</v>
      </c>
      <c r="AQ6" s="27">
        <f>Tabela1118[[#This Row],[Coluna7]]/$S$3</f>
        <v>0.50166666666666671</v>
      </c>
    </row>
    <row r="7" spans="1:43" x14ac:dyDescent="0.25">
      <c r="A7" s="46"/>
      <c r="B7" s="7" t="s">
        <v>45</v>
      </c>
      <c r="C7" s="27">
        <v>0.99199999999999999</v>
      </c>
      <c r="D7" s="27">
        <v>0</v>
      </c>
      <c r="E7" s="27">
        <v>8.0000000000000002E-3</v>
      </c>
      <c r="F7" s="27">
        <v>0.89500000000000002</v>
      </c>
      <c r="G7" s="27">
        <v>9.8000000000000004E-2</v>
      </c>
      <c r="H7" s="27">
        <v>7.0000000000000001E-3</v>
      </c>
      <c r="I7" s="27">
        <v>0.90900000000000003</v>
      </c>
      <c r="J7" s="27">
        <v>0.77800000000000002</v>
      </c>
      <c r="K7" s="27">
        <v>0.13100000000000001</v>
      </c>
      <c r="L7" s="27">
        <v>0.86899999999999999</v>
      </c>
      <c r="M7" s="27">
        <v>4.0399999999999998E-2</v>
      </c>
      <c r="N7" s="27">
        <v>5.96E-2</v>
      </c>
      <c r="O7" s="8">
        <v>-7.65</v>
      </c>
      <c r="P7" s="27">
        <f>Tabela11[[#This Row],[NICS(0)]]/$O$3</f>
        <v>0.96835443037974689</v>
      </c>
      <c r="Q7" s="27">
        <v>-8.68</v>
      </c>
      <c r="R7" s="27">
        <f>Tabela11[[#This Row],[NICS(1)]]/$Q$3</f>
        <v>0.86886886886886883</v>
      </c>
      <c r="S7" s="27">
        <v>-25.18</v>
      </c>
      <c r="T7" s="27">
        <f>Tabela11[[#This Row],[Coluna7]]/$S$3</f>
        <v>0.83933333333333338</v>
      </c>
      <c r="V7" s="14"/>
      <c r="W7" s="14"/>
      <c r="X7" s="46"/>
      <c r="Y7" s="7" t="s">
        <v>45</v>
      </c>
      <c r="Z7" s="27">
        <v>0.99199999999999999</v>
      </c>
      <c r="AA7" s="27">
        <v>0</v>
      </c>
      <c r="AB7" s="27">
        <v>8.0000000000000002E-3</v>
      </c>
      <c r="AC7" s="27">
        <v>0.89500000000000002</v>
      </c>
      <c r="AD7" s="27">
        <v>9.8000000000000004E-2</v>
      </c>
      <c r="AE7" s="27">
        <v>7.0000000000000001E-3</v>
      </c>
      <c r="AF7" s="27">
        <v>0.90900000000000003</v>
      </c>
      <c r="AG7" s="27">
        <v>0.77800000000000002</v>
      </c>
      <c r="AH7" s="27">
        <v>0.13100000000000001</v>
      </c>
      <c r="AI7" s="27">
        <v>0.86899999999999999</v>
      </c>
      <c r="AJ7" s="27">
        <v>4.0399999999999998E-2</v>
      </c>
      <c r="AK7" s="27">
        <v>5.96E-2</v>
      </c>
      <c r="AL7" s="8">
        <v>-7.65</v>
      </c>
      <c r="AM7" s="27">
        <f>Tabela1118[[#This Row],[NICS(0)]]/$O$3</f>
        <v>0.96835443037974689</v>
      </c>
      <c r="AN7" s="27">
        <v>-8.68</v>
      </c>
      <c r="AO7" s="27">
        <f>Tabela1118[[#This Row],[NICS(1)]]/$Q$3</f>
        <v>0.86886886886886883</v>
      </c>
      <c r="AP7" s="27">
        <v>-25.18</v>
      </c>
      <c r="AQ7" s="27">
        <f>Tabela1118[[#This Row],[Coluna7]]/$S$3</f>
        <v>0.83933333333333338</v>
      </c>
    </row>
    <row r="8" spans="1:43" ht="21" x14ac:dyDescent="0.25">
      <c r="A8" s="46"/>
      <c r="B8" s="7" t="s">
        <v>84</v>
      </c>
      <c r="C8" s="27">
        <v>0.72399999999999998</v>
      </c>
      <c r="D8" s="27">
        <v>7.0999999999999994E-2</v>
      </c>
      <c r="E8" s="27">
        <v>0.20599999999999999</v>
      </c>
      <c r="F8" s="27">
        <v>0.59299999999999997</v>
      </c>
      <c r="G8" s="27">
        <v>0.26500000000000001</v>
      </c>
      <c r="H8" s="27">
        <v>0.14199999999999999</v>
      </c>
      <c r="I8" s="27">
        <v>0.92400000000000004</v>
      </c>
      <c r="J8" s="27">
        <v>0.59899999999999998</v>
      </c>
      <c r="K8" s="27">
        <v>0.32500000000000001</v>
      </c>
      <c r="L8" s="27">
        <v>0.67500000000000004</v>
      </c>
      <c r="M8" s="27">
        <v>2.46E-2</v>
      </c>
      <c r="N8" s="27">
        <v>3.3599999999999998E-2</v>
      </c>
      <c r="O8" s="8">
        <v>-1.73</v>
      </c>
      <c r="P8" s="27">
        <f>Tabela11[[#This Row],[NICS(0)]]/$O$3</f>
        <v>0.2189873417721519</v>
      </c>
      <c r="Q8" s="27">
        <v>-3.59</v>
      </c>
      <c r="R8" s="27">
        <f>Tabela11[[#This Row],[NICS(1)]]/$Q$3</f>
        <v>0.35935935935935936</v>
      </c>
      <c r="S8" s="27">
        <v>-11.7</v>
      </c>
      <c r="T8" s="27">
        <f>Tabela11[[#This Row],[Coluna7]]/$S$3</f>
        <v>0.38999999999999996</v>
      </c>
      <c r="V8" s="14"/>
      <c r="W8" s="14"/>
      <c r="X8" s="46"/>
      <c r="Y8" s="7" t="s">
        <v>84</v>
      </c>
      <c r="Z8" s="27">
        <v>0.72399999999999998</v>
      </c>
      <c r="AA8" s="27">
        <v>7.0999999999999994E-2</v>
      </c>
      <c r="AB8" s="27">
        <v>0.20599999999999999</v>
      </c>
      <c r="AC8" s="27">
        <v>0.59299999999999997</v>
      </c>
      <c r="AD8" s="27">
        <v>0.26500000000000001</v>
      </c>
      <c r="AE8" s="27">
        <v>0.14199999999999999</v>
      </c>
      <c r="AF8" s="27">
        <v>0.92400000000000004</v>
      </c>
      <c r="AG8" s="27">
        <v>0.59899999999999998</v>
      </c>
      <c r="AH8" s="27">
        <v>0.32500000000000001</v>
      </c>
      <c r="AI8" s="27">
        <v>0.67500000000000004</v>
      </c>
      <c r="AJ8" s="27">
        <v>2.46E-2</v>
      </c>
      <c r="AK8" s="27">
        <v>3.3599999999999998E-2</v>
      </c>
      <c r="AL8" s="8">
        <v>-1.73</v>
      </c>
      <c r="AM8" s="27">
        <f>Tabela1118[[#This Row],[NICS(0)]]/$O$3</f>
        <v>0.2189873417721519</v>
      </c>
      <c r="AN8" s="27">
        <v>-3.59</v>
      </c>
      <c r="AO8" s="27">
        <f>Tabela1118[[#This Row],[NICS(1)]]/$Q$3</f>
        <v>0.35935935935935936</v>
      </c>
      <c r="AP8" s="27">
        <v>-11.7</v>
      </c>
      <c r="AQ8" s="27">
        <f>Tabela1118[[#This Row],[Coluna7]]/$S$3</f>
        <v>0.38999999999999996</v>
      </c>
    </row>
    <row r="9" spans="1:43" ht="18" x14ac:dyDescent="0.25">
      <c r="A9" s="46"/>
      <c r="B9" s="7" t="s">
        <v>85</v>
      </c>
      <c r="C9" s="27">
        <v>0.44800000000000001</v>
      </c>
      <c r="D9" s="27">
        <v>9.2999999999999999E-2</v>
      </c>
      <c r="E9" s="27">
        <v>0.45900000000000002</v>
      </c>
      <c r="F9" s="27">
        <v>0.437</v>
      </c>
      <c r="G9" s="27">
        <v>0.21</v>
      </c>
      <c r="H9" s="27">
        <v>0.35299999999999998</v>
      </c>
      <c r="I9" s="27">
        <v>0.99199999999999999</v>
      </c>
      <c r="J9" s="27">
        <v>0.44</v>
      </c>
      <c r="K9" s="27">
        <v>0.55200000000000005</v>
      </c>
      <c r="L9" s="27">
        <v>0.44800000000000001</v>
      </c>
      <c r="M9" s="27">
        <v>1.32E-2</v>
      </c>
      <c r="N9" s="27">
        <v>1.03E-2</v>
      </c>
      <c r="O9" s="8">
        <v>4.67</v>
      </c>
      <c r="P9" s="27">
        <f>Tabela11[[#This Row],[NICS(0)]]/$O$3</f>
        <v>-0.59113924050632904</v>
      </c>
      <c r="Q9" s="27">
        <v>-1.79</v>
      </c>
      <c r="R9" s="27">
        <f>Tabela11[[#This Row],[NICS(1)]]/$Q$3</f>
        <v>0.17917917917917917</v>
      </c>
      <c r="S9" s="27">
        <v>-4.2699999999999996</v>
      </c>
      <c r="T9" s="27">
        <f>Tabela11[[#This Row],[Coluna7]]/$S$3</f>
        <v>0.14233333333333331</v>
      </c>
      <c r="V9" s="14"/>
      <c r="W9" s="14"/>
      <c r="X9" s="46"/>
      <c r="Y9" s="7" t="s">
        <v>85</v>
      </c>
      <c r="Z9" s="27">
        <v>0.44800000000000001</v>
      </c>
      <c r="AA9" s="27">
        <v>9.2999999999999999E-2</v>
      </c>
      <c r="AB9" s="27">
        <v>0.45900000000000002</v>
      </c>
      <c r="AC9" s="27">
        <v>0.437</v>
      </c>
      <c r="AD9" s="27">
        <v>0.21</v>
      </c>
      <c r="AE9" s="27">
        <v>0.35299999999999998</v>
      </c>
      <c r="AF9" s="27">
        <v>0.99199999999999999</v>
      </c>
      <c r="AG9" s="27">
        <v>0.44</v>
      </c>
      <c r="AH9" s="27">
        <v>0.55200000000000005</v>
      </c>
      <c r="AI9" s="27">
        <v>0.44800000000000001</v>
      </c>
      <c r="AJ9" s="27">
        <v>1.32E-2</v>
      </c>
      <c r="AK9" s="27">
        <v>1.03E-2</v>
      </c>
      <c r="AL9" s="8">
        <v>4.67</v>
      </c>
      <c r="AM9" s="27">
        <f>Tabela1118[[#This Row],[NICS(0)]]/$O$3</f>
        <v>-0.59113924050632904</v>
      </c>
      <c r="AN9" s="27">
        <v>-1.79</v>
      </c>
      <c r="AO9" s="27">
        <f>Tabela1118[[#This Row],[NICS(1)]]/$Q$3</f>
        <v>0.17917917917917917</v>
      </c>
      <c r="AP9" s="27">
        <v>-4.2699999999999996</v>
      </c>
      <c r="AQ9" s="27">
        <f>Tabela1118[[#This Row],[Coluna7]]/$S$3</f>
        <v>0.14233333333333331</v>
      </c>
    </row>
    <row r="10" spans="1:43" x14ac:dyDescent="0.25">
      <c r="A10" s="46"/>
      <c r="B10" s="7" t="s">
        <v>46</v>
      </c>
      <c r="C10" s="27">
        <v>0.997</v>
      </c>
      <c r="D10" s="27">
        <v>2E-3</v>
      </c>
      <c r="E10" s="27">
        <v>1E-3</v>
      </c>
      <c r="F10" s="27">
        <v>0.91700000000000004</v>
      </c>
      <c r="G10" s="27">
        <v>8.1000000000000003E-2</v>
      </c>
      <c r="H10" s="27">
        <v>2E-3</v>
      </c>
      <c r="I10" s="27">
        <v>0.89400000000000002</v>
      </c>
      <c r="J10" s="27">
        <v>0.84899999999999998</v>
      </c>
      <c r="K10" s="27">
        <v>4.4999999999999998E-2</v>
      </c>
      <c r="L10" s="27">
        <v>0.95499999999999996</v>
      </c>
      <c r="M10" s="27">
        <v>4.19E-2</v>
      </c>
      <c r="N10" s="27">
        <v>6.2199999999999998E-2</v>
      </c>
      <c r="O10" s="8">
        <v>-8.81</v>
      </c>
      <c r="P10" s="27">
        <f>Tabela11[[#This Row],[NICS(0)]]/$O$3</f>
        <v>1.1151898734177215</v>
      </c>
      <c r="Q10" s="27">
        <v>-9.44</v>
      </c>
      <c r="R10" s="27">
        <f>Tabela11[[#This Row],[NICS(1)]]/$Q$3</f>
        <v>0.94494494494494485</v>
      </c>
      <c r="S10" s="27">
        <v>-27.21</v>
      </c>
      <c r="T10" s="27">
        <f>Tabela11[[#This Row],[Coluna7]]/$S$3</f>
        <v>0.90700000000000003</v>
      </c>
      <c r="V10" s="14"/>
      <c r="W10" s="14"/>
      <c r="X10" s="46"/>
      <c r="Y10" s="7" t="s">
        <v>46</v>
      </c>
      <c r="Z10" s="27">
        <v>0.997</v>
      </c>
      <c r="AA10" s="27">
        <v>2E-3</v>
      </c>
      <c r="AB10" s="27">
        <v>1E-3</v>
      </c>
      <c r="AC10" s="27">
        <v>0.91700000000000004</v>
      </c>
      <c r="AD10" s="27">
        <v>8.1000000000000003E-2</v>
      </c>
      <c r="AE10" s="27">
        <v>2E-3</v>
      </c>
      <c r="AF10" s="27">
        <v>0.89400000000000002</v>
      </c>
      <c r="AG10" s="27">
        <v>0.84899999999999998</v>
      </c>
      <c r="AH10" s="27">
        <v>4.4999999999999998E-2</v>
      </c>
      <c r="AI10" s="27">
        <v>0.95499999999999996</v>
      </c>
      <c r="AJ10" s="27">
        <v>4.19E-2</v>
      </c>
      <c r="AK10" s="27">
        <v>6.2199999999999998E-2</v>
      </c>
      <c r="AL10" s="8">
        <v>-8.81</v>
      </c>
      <c r="AM10" s="27">
        <f>Tabela1118[[#This Row],[NICS(0)]]/$O$3</f>
        <v>1.1151898734177215</v>
      </c>
      <c r="AN10" s="27">
        <v>-9.44</v>
      </c>
      <c r="AO10" s="27">
        <f>Tabela1118[[#This Row],[NICS(1)]]/$Q$3</f>
        <v>0.94494494494494485</v>
      </c>
      <c r="AP10" s="27">
        <v>-27.21</v>
      </c>
      <c r="AQ10" s="27">
        <f>Tabela1118[[#This Row],[Coluna7]]/$S$3</f>
        <v>0.90700000000000003</v>
      </c>
    </row>
    <row r="11" spans="1:43" x14ac:dyDescent="0.25">
      <c r="A11" s="46"/>
      <c r="B11" s="7" t="s">
        <v>47</v>
      </c>
      <c r="C11" s="27">
        <v>0.73599999999999999</v>
      </c>
      <c r="D11" s="27">
        <v>7.1999999999999995E-2</v>
      </c>
      <c r="E11" s="27">
        <v>0.192</v>
      </c>
      <c r="F11" s="27">
        <v>0.53700000000000003</v>
      </c>
      <c r="G11" s="27">
        <v>0.30499999999999999</v>
      </c>
      <c r="H11" s="27">
        <v>0.157</v>
      </c>
      <c r="I11" s="27">
        <v>0.90700000000000003</v>
      </c>
      <c r="J11" s="27">
        <v>0.66</v>
      </c>
      <c r="K11" s="27">
        <v>0.247</v>
      </c>
      <c r="L11" s="27">
        <v>0.753</v>
      </c>
      <c r="M11" s="27">
        <v>2.7199999999999998E-2</v>
      </c>
      <c r="N11" s="27">
        <v>3.7900000000000003E-2</v>
      </c>
      <c r="O11" s="8">
        <v>-3.93</v>
      </c>
      <c r="P11" s="27">
        <f>Tabela11[[#This Row],[NICS(0)]]/$O$3</f>
        <v>0.49746835443037973</v>
      </c>
      <c r="Q11" s="27">
        <v>-5.65</v>
      </c>
      <c r="R11" s="27">
        <f>Tabela11[[#This Row],[NICS(1)]]/$Q$3</f>
        <v>0.56556556556556559</v>
      </c>
      <c r="S11" s="27">
        <v>-18.170000000000002</v>
      </c>
      <c r="T11" s="27">
        <f>Tabela11[[#This Row],[Coluna7]]/$S$3</f>
        <v>0.60566666666666669</v>
      </c>
      <c r="V11" s="14"/>
      <c r="W11" s="14"/>
      <c r="X11" s="46"/>
      <c r="Y11" s="7" t="s">
        <v>47</v>
      </c>
      <c r="Z11" s="27">
        <v>0.73599999999999999</v>
      </c>
      <c r="AA11" s="27">
        <v>7.1999999999999995E-2</v>
      </c>
      <c r="AB11" s="27">
        <v>0.192</v>
      </c>
      <c r="AC11" s="27">
        <v>0.53700000000000003</v>
      </c>
      <c r="AD11" s="27">
        <v>0.30499999999999999</v>
      </c>
      <c r="AE11" s="27">
        <v>0.157</v>
      </c>
      <c r="AF11" s="27">
        <v>0.90700000000000003</v>
      </c>
      <c r="AG11" s="27">
        <v>0.66</v>
      </c>
      <c r="AH11" s="27">
        <v>0.247</v>
      </c>
      <c r="AI11" s="27">
        <v>0.753</v>
      </c>
      <c r="AJ11" s="27">
        <v>2.7199999999999998E-2</v>
      </c>
      <c r="AK11" s="27">
        <v>3.7900000000000003E-2</v>
      </c>
      <c r="AL11" s="8">
        <v>-3.93</v>
      </c>
      <c r="AM11" s="27">
        <f>Tabela1118[[#This Row],[NICS(0)]]/$O$3</f>
        <v>0.49746835443037973</v>
      </c>
      <c r="AN11" s="27">
        <v>-5.65</v>
      </c>
      <c r="AO11" s="27">
        <f>Tabela1118[[#This Row],[NICS(1)]]/$Q$3</f>
        <v>0.56556556556556559</v>
      </c>
      <c r="AP11" s="27">
        <v>-18.170000000000002</v>
      </c>
      <c r="AQ11" s="27">
        <f>Tabela1118[[#This Row],[Coluna7]]/$S$3</f>
        <v>0.60566666666666669</v>
      </c>
    </row>
    <row r="12" spans="1:43" x14ac:dyDescent="0.25">
      <c r="A12" s="46"/>
      <c r="B12" s="7" t="s">
        <v>48</v>
      </c>
      <c r="C12" s="27">
        <v>-0.1</v>
      </c>
      <c r="D12" s="27">
        <v>0.23400000000000001</v>
      </c>
      <c r="E12" s="27">
        <v>0.86499999999999999</v>
      </c>
      <c r="F12" s="27">
        <v>-7.5999999999999998E-2</v>
      </c>
      <c r="G12" s="27">
        <v>0.377</v>
      </c>
      <c r="H12" s="27">
        <v>0.69899999999999995</v>
      </c>
      <c r="I12" s="27">
        <v>0.998</v>
      </c>
      <c r="J12" s="27">
        <v>0.27600000000000002</v>
      </c>
      <c r="K12" s="27">
        <v>0.72199999999999998</v>
      </c>
      <c r="L12" s="27">
        <v>0.27800000000000002</v>
      </c>
      <c r="M12" s="27">
        <v>7.0000000000000001E-3</v>
      </c>
      <c r="N12" s="27">
        <v>1E-4</v>
      </c>
      <c r="O12" s="8">
        <v>13.86</v>
      </c>
      <c r="P12" s="27">
        <f>Tabela11[[#This Row],[NICS(0)]]/$O$3</f>
        <v>-1.7544303797468352</v>
      </c>
      <c r="Q12" s="27">
        <v>3.91</v>
      </c>
      <c r="R12" s="27">
        <f>Tabela11[[#This Row],[NICS(1)]]/$Q$3</f>
        <v>-0.3913913913913914</v>
      </c>
      <c r="S12" s="27">
        <v>9.36</v>
      </c>
      <c r="T12" s="27">
        <f>Tabela11[[#This Row],[Coluna7]]/$S$3</f>
        <v>-0.312</v>
      </c>
      <c r="V12" s="14"/>
      <c r="W12" s="14"/>
      <c r="X12" s="46"/>
      <c r="Y12" s="7" t="s">
        <v>48</v>
      </c>
      <c r="Z12" s="27">
        <v>-0.1</v>
      </c>
      <c r="AA12" s="27">
        <v>0.23400000000000001</v>
      </c>
      <c r="AB12" s="27">
        <v>0.86499999999999999</v>
      </c>
      <c r="AC12" s="27">
        <v>-7.5999999999999998E-2</v>
      </c>
      <c r="AD12" s="27">
        <v>0.377</v>
      </c>
      <c r="AE12" s="27">
        <v>0.69899999999999995</v>
      </c>
      <c r="AF12" s="27">
        <v>0.998</v>
      </c>
      <c r="AG12" s="27">
        <v>0.27600000000000002</v>
      </c>
      <c r="AH12" s="27">
        <v>0.72199999999999998</v>
      </c>
      <c r="AI12" s="27">
        <v>0.27800000000000002</v>
      </c>
      <c r="AJ12" s="27">
        <v>7.0000000000000001E-3</v>
      </c>
      <c r="AK12" s="27">
        <v>1E-4</v>
      </c>
      <c r="AL12" s="8">
        <v>13.86</v>
      </c>
      <c r="AM12" s="27">
        <f>Tabela1118[[#This Row],[NICS(0)]]/$O$3</f>
        <v>-1.7544303797468352</v>
      </c>
      <c r="AN12" s="27">
        <v>3.91</v>
      </c>
      <c r="AO12" s="27">
        <f>Tabela1118[[#This Row],[NICS(1)]]/$Q$3</f>
        <v>-0.3913913913913914</v>
      </c>
      <c r="AP12" s="27">
        <v>9.36</v>
      </c>
      <c r="AQ12" s="27">
        <f>Tabela1118[[#This Row],[Coluna7]]/$S$3</f>
        <v>-0.312</v>
      </c>
    </row>
    <row r="13" spans="1:43" x14ac:dyDescent="0.25">
      <c r="A13" s="46" t="s">
        <v>65</v>
      </c>
      <c r="B13" s="7" t="s">
        <v>53</v>
      </c>
      <c r="C13" s="27">
        <v>0.997</v>
      </c>
      <c r="D13" s="27">
        <v>0</v>
      </c>
      <c r="E13" s="27">
        <v>3.0000000000000001E-3</v>
      </c>
      <c r="F13" s="27">
        <v>0.89</v>
      </c>
      <c r="G13" s="27">
        <v>0.107</v>
      </c>
      <c r="H13" s="27">
        <v>3.0000000000000001E-3</v>
      </c>
      <c r="I13" s="27">
        <v>0.89500000000000002</v>
      </c>
      <c r="J13" s="27">
        <v>0.871</v>
      </c>
      <c r="K13" s="27">
        <v>2.4E-2</v>
      </c>
      <c r="L13" s="27">
        <v>0.97599999999999998</v>
      </c>
      <c r="M13" s="27">
        <v>4.3400000000000001E-2</v>
      </c>
      <c r="N13" s="27">
        <v>6.4399999999999999E-2</v>
      </c>
      <c r="O13" s="8">
        <v>-7.8</v>
      </c>
      <c r="P13" s="27">
        <f>Tabela11[[#This Row],[NICS(0)]]/$O$3</f>
        <v>0.98734177215189867</v>
      </c>
      <c r="Q13" s="27">
        <v>-9.5500000000000007</v>
      </c>
      <c r="R13" s="27">
        <f>Tabela11[[#This Row],[NICS(1)]]/$Q$3</f>
        <v>0.95595595595595606</v>
      </c>
      <c r="S13" s="27">
        <v>-27.33</v>
      </c>
      <c r="T13" s="27">
        <f>Tabela11[[#This Row],[Coluna7]]/$S$3</f>
        <v>0.91099999999999992</v>
      </c>
      <c r="V13" s="14"/>
      <c r="W13" s="14"/>
      <c r="X13" s="46" t="s">
        <v>65</v>
      </c>
      <c r="Y13" s="7" t="s">
        <v>53</v>
      </c>
      <c r="Z13" s="27">
        <v>0.997</v>
      </c>
      <c r="AA13" s="27">
        <v>0</v>
      </c>
      <c r="AB13" s="27">
        <v>3.0000000000000001E-3</v>
      </c>
      <c r="AC13" s="27">
        <v>0.89</v>
      </c>
      <c r="AD13" s="27">
        <v>0.107</v>
      </c>
      <c r="AE13" s="27">
        <v>3.0000000000000001E-3</v>
      </c>
      <c r="AF13" s="27">
        <v>0.89500000000000002</v>
      </c>
      <c r="AG13" s="27">
        <v>0.871</v>
      </c>
      <c r="AH13" s="27">
        <v>2.4E-2</v>
      </c>
      <c r="AI13" s="27">
        <v>0.97599999999999998</v>
      </c>
      <c r="AJ13" s="27">
        <v>4.3400000000000001E-2</v>
      </c>
      <c r="AK13" s="27">
        <v>6.4399999999999999E-2</v>
      </c>
      <c r="AL13" s="8">
        <v>-7.8</v>
      </c>
      <c r="AM13" s="27">
        <f>Tabela1118[[#This Row],[NICS(0)]]/$O$3</f>
        <v>0.98734177215189867</v>
      </c>
      <c r="AN13" s="27">
        <v>-9.5500000000000007</v>
      </c>
      <c r="AO13" s="27">
        <f>Tabela1118[[#This Row],[NICS(1)]]/$Q$3</f>
        <v>0.95595595595595606</v>
      </c>
      <c r="AP13" s="27">
        <v>-27.33</v>
      </c>
      <c r="AQ13" s="27">
        <f>Tabela1118[[#This Row],[Coluna7]]/$S$3</f>
        <v>0.91099999999999992</v>
      </c>
    </row>
    <row r="14" spans="1:43" x14ac:dyDescent="0.25">
      <c r="A14" s="46"/>
      <c r="B14" s="7" t="s">
        <v>54</v>
      </c>
      <c r="C14" s="27">
        <v>6.0000000000000001E-3</v>
      </c>
      <c r="D14" s="27">
        <v>0.18</v>
      </c>
      <c r="E14" s="27">
        <v>0.81399999999999995</v>
      </c>
      <c r="F14" s="27">
        <v>8.5000000000000006E-2</v>
      </c>
      <c r="G14" s="27">
        <v>0.18</v>
      </c>
      <c r="H14" s="27">
        <v>0.73499999999999999</v>
      </c>
      <c r="I14" s="27">
        <v>0.99399999999999999</v>
      </c>
      <c r="J14" s="27">
        <v>0.41199999999999998</v>
      </c>
      <c r="K14" s="27">
        <v>0.58199999999999996</v>
      </c>
      <c r="L14" s="27">
        <v>0.41799999999999998</v>
      </c>
      <c r="M14" s="27">
        <v>8.9999999999999993E-3</v>
      </c>
      <c r="N14" s="27">
        <v>0.01</v>
      </c>
      <c r="O14" s="8">
        <v>2.62</v>
      </c>
      <c r="P14" s="27">
        <f>Tabela11[[#This Row],[NICS(0)]]/$O$3</f>
        <v>-0.33164556962025316</v>
      </c>
      <c r="Q14" s="27">
        <v>-1.37</v>
      </c>
      <c r="R14" s="27">
        <f>Tabela11[[#This Row],[NICS(1)]]/$Q$3</f>
        <v>0.13713713713713716</v>
      </c>
      <c r="S14" s="27">
        <v>-1.36</v>
      </c>
      <c r="T14" s="27">
        <f>Tabela11[[#This Row],[Coluna7]]/$S$3</f>
        <v>4.5333333333333337E-2</v>
      </c>
      <c r="V14" s="14"/>
      <c r="W14" s="14"/>
      <c r="X14" s="46"/>
      <c r="Y14" s="7" t="s">
        <v>54</v>
      </c>
      <c r="Z14" s="27">
        <v>6.0000000000000001E-3</v>
      </c>
      <c r="AA14" s="27">
        <v>0.18</v>
      </c>
      <c r="AB14" s="27">
        <v>0.81399999999999995</v>
      </c>
      <c r="AC14" s="27">
        <v>8.5000000000000006E-2</v>
      </c>
      <c r="AD14" s="27">
        <v>0.18</v>
      </c>
      <c r="AE14" s="27">
        <v>0.73499999999999999</v>
      </c>
      <c r="AF14" s="27">
        <v>0.99399999999999999</v>
      </c>
      <c r="AG14" s="27">
        <v>0.41199999999999998</v>
      </c>
      <c r="AH14" s="27">
        <v>0.58199999999999996</v>
      </c>
      <c r="AI14" s="27">
        <v>0.41799999999999998</v>
      </c>
      <c r="AJ14" s="27">
        <v>8.9999999999999993E-3</v>
      </c>
      <c r="AK14" s="27">
        <v>0.01</v>
      </c>
      <c r="AL14" s="8">
        <v>2.62</v>
      </c>
      <c r="AM14" s="27">
        <f>Tabela1118[[#This Row],[NICS(0)]]/$O$3</f>
        <v>-0.33164556962025316</v>
      </c>
      <c r="AN14" s="27">
        <v>-1.37</v>
      </c>
      <c r="AO14" s="27">
        <f>Tabela1118[[#This Row],[NICS(1)]]/$Q$3</f>
        <v>0.13713713713713716</v>
      </c>
      <c r="AP14" s="27">
        <v>-1.36</v>
      </c>
      <c r="AQ14" s="27">
        <f>Tabela1118[[#This Row],[Coluna7]]/$S$3</f>
        <v>4.5333333333333337E-2</v>
      </c>
    </row>
    <row r="15" spans="1:43" x14ac:dyDescent="0.25">
      <c r="A15" s="46"/>
      <c r="B15" s="7" t="s">
        <v>55</v>
      </c>
      <c r="C15" s="27">
        <v>0.995</v>
      </c>
      <c r="D15" s="27">
        <v>0</v>
      </c>
      <c r="E15" s="27">
        <v>5.0000000000000001E-3</v>
      </c>
      <c r="F15" s="27">
        <v>0.871</v>
      </c>
      <c r="G15" s="27">
        <v>0.125</v>
      </c>
      <c r="H15" s="27">
        <v>4.0000000000000001E-3</v>
      </c>
      <c r="I15" s="27">
        <v>0.89700000000000002</v>
      </c>
      <c r="J15" s="27">
        <v>0.748</v>
      </c>
      <c r="K15" s="27">
        <v>0.14899999999999999</v>
      </c>
      <c r="L15" s="27">
        <v>0.85099999999999998</v>
      </c>
      <c r="M15" s="27">
        <v>3.6200000000000003E-2</v>
      </c>
      <c r="N15" s="27">
        <v>5.3100000000000001E-2</v>
      </c>
      <c r="O15" s="8">
        <v>-8.1199999999999992</v>
      </c>
      <c r="P15" s="27">
        <f>Tabela11[[#This Row],[NICS(0)]]/$O$3</f>
        <v>1.0278481012658227</v>
      </c>
      <c r="Q15" s="27">
        <v>-8.24</v>
      </c>
      <c r="R15" s="27">
        <f>Tabela11[[#This Row],[NICS(1)]]/$Q$3</f>
        <v>0.82482482482482478</v>
      </c>
      <c r="S15" s="27">
        <v>-22.64</v>
      </c>
      <c r="T15" s="27">
        <f>Tabela11[[#This Row],[Coluna7]]/$S$3</f>
        <v>0.75466666666666671</v>
      </c>
      <c r="V15" s="14"/>
      <c r="W15" s="14"/>
      <c r="X15" s="46"/>
      <c r="Y15" s="7" t="s">
        <v>55</v>
      </c>
      <c r="Z15" s="27">
        <v>0.995</v>
      </c>
      <c r="AA15" s="27">
        <v>0</v>
      </c>
      <c r="AB15" s="27">
        <v>5.0000000000000001E-3</v>
      </c>
      <c r="AC15" s="27">
        <v>0.871</v>
      </c>
      <c r="AD15" s="27">
        <v>0.125</v>
      </c>
      <c r="AE15" s="27">
        <v>4.0000000000000001E-3</v>
      </c>
      <c r="AF15" s="27">
        <v>0.89700000000000002</v>
      </c>
      <c r="AG15" s="27">
        <v>0.748</v>
      </c>
      <c r="AH15" s="27">
        <v>0.14899999999999999</v>
      </c>
      <c r="AI15" s="27">
        <v>0.85099999999999998</v>
      </c>
      <c r="AJ15" s="27">
        <v>3.6200000000000003E-2</v>
      </c>
      <c r="AK15" s="27">
        <v>5.3100000000000001E-2</v>
      </c>
      <c r="AL15" s="8">
        <v>-8.1199999999999992</v>
      </c>
      <c r="AM15" s="27">
        <f>Tabela1118[[#This Row],[NICS(0)]]/$O$3</f>
        <v>1.0278481012658227</v>
      </c>
      <c r="AN15" s="27">
        <v>-8.24</v>
      </c>
      <c r="AO15" s="27">
        <f>Tabela1118[[#This Row],[NICS(1)]]/$Q$3</f>
        <v>0.82482482482482478</v>
      </c>
      <c r="AP15" s="27">
        <v>-22.64</v>
      </c>
      <c r="AQ15" s="27">
        <f>Tabela1118[[#This Row],[Coluna7]]/$S$3</f>
        <v>0.75466666666666671</v>
      </c>
    </row>
    <row r="16" spans="1:43" x14ac:dyDescent="0.25">
      <c r="A16" s="46"/>
      <c r="B16" s="7" t="s">
        <v>56</v>
      </c>
      <c r="C16" s="27">
        <v>-0.309</v>
      </c>
      <c r="D16" s="27">
        <v>0.26900000000000002</v>
      </c>
      <c r="E16" s="27">
        <v>1.0409999999999999</v>
      </c>
      <c r="F16" s="27">
        <v>-0.2</v>
      </c>
      <c r="G16" s="27">
        <v>0.24199999999999999</v>
      </c>
      <c r="H16" s="27">
        <v>0.95799999999999996</v>
      </c>
      <c r="I16" s="27">
        <v>0.998</v>
      </c>
      <c r="J16" s="27">
        <v>0.35699999999999998</v>
      </c>
      <c r="K16" s="27">
        <v>0.64100000000000001</v>
      </c>
      <c r="L16" s="27">
        <v>0.35899999999999999</v>
      </c>
      <c r="M16" s="27">
        <v>6.6E-3</v>
      </c>
      <c r="N16" s="27">
        <v>6.8999999999999999E-3</v>
      </c>
      <c r="O16" s="8">
        <v>4.17</v>
      </c>
      <c r="P16" s="27">
        <f>Tabela11[[#This Row],[NICS(0)]]/$O$3</f>
        <v>-0.52784810126582271</v>
      </c>
      <c r="Q16" s="27">
        <v>-0.89</v>
      </c>
      <c r="R16" s="27">
        <f>Tabela11[[#This Row],[NICS(1)]]/$Q$3</f>
        <v>8.9089089089089094E-2</v>
      </c>
      <c r="S16" s="27">
        <v>-0.73</v>
      </c>
      <c r="T16" s="27">
        <f>Tabela11[[#This Row],[Coluna7]]/$S$3</f>
        <v>2.4333333333333332E-2</v>
      </c>
      <c r="V16" s="14"/>
      <c r="W16" s="14"/>
      <c r="X16" s="46"/>
      <c r="Y16" s="7" t="s">
        <v>56</v>
      </c>
      <c r="Z16" s="27">
        <v>-0.309</v>
      </c>
      <c r="AA16" s="27">
        <v>0.26900000000000002</v>
      </c>
      <c r="AB16" s="27">
        <v>1.0409999999999999</v>
      </c>
      <c r="AC16" s="27">
        <v>-0.2</v>
      </c>
      <c r="AD16" s="27">
        <v>0.24199999999999999</v>
      </c>
      <c r="AE16" s="27">
        <v>0.95799999999999996</v>
      </c>
      <c r="AF16" s="27">
        <v>0.998</v>
      </c>
      <c r="AG16" s="27">
        <v>0.35699999999999998</v>
      </c>
      <c r="AH16" s="27">
        <v>0.64100000000000001</v>
      </c>
      <c r="AI16" s="27">
        <v>0.35899999999999999</v>
      </c>
      <c r="AJ16" s="27">
        <v>6.6E-3</v>
      </c>
      <c r="AK16" s="27">
        <v>6.8999999999999999E-3</v>
      </c>
      <c r="AL16" s="8">
        <v>4.17</v>
      </c>
      <c r="AM16" s="27">
        <f>Tabela1118[[#This Row],[NICS(0)]]/$O$3</f>
        <v>-0.52784810126582271</v>
      </c>
      <c r="AN16" s="27">
        <v>-0.89</v>
      </c>
      <c r="AO16" s="27">
        <f>Tabela1118[[#This Row],[NICS(1)]]/$Q$3</f>
        <v>8.9089089089089094E-2</v>
      </c>
      <c r="AP16" s="27">
        <v>-0.73</v>
      </c>
      <c r="AQ16" s="27">
        <f>Tabela1118[[#This Row],[Coluna7]]/$S$3</f>
        <v>2.4333333333333332E-2</v>
      </c>
    </row>
    <row r="17" spans="1:43" x14ac:dyDescent="0.25">
      <c r="A17" s="46"/>
      <c r="B17" s="7" t="s">
        <v>57</v>
      </c>
      <c r="C17" s="27">
        <v>0.997</v>
      </c>
      <c r="D17" s="27">
        <v>3.0000000000000001E-3</v>
      </c>
      <c r="E17" s="27">
        <v>1E-3</v>
      </c>
      <c r="F17" s="27">
        <v>0.91</v>
      </c>
      <c r="G17" s="27">
        <v>8.8999999999999996E-2</v>
      </c>
      <c r="H17" s="27">
        <v>1E-3</v>
      </c>
      <c r="I17" s="27">
        <v>0.86899999999999999</v>
      </c>
      <c r="J17" s="27">
        <v>0.85</v>
      </c>
      <c r="K17" s="27">
        <v>1.9E-2</v>
      </c>
      <c r="L17" s="27">
        <v>0.98099999999999998</v>
      </c>
      <c r="M17" s="27">
        <v>3.7699999999999997E-2</v>
      </c>
      <c r="N17" s="27">
        <v>5.6000000000000001E-2</v>
      </c>
      <c r="O17" s="8">
        <v>-9.83</v>
      </c>
      <c r="P17" s="27">
        <f>Tabela11[[#This Row],[NICS(0)]]/$O$3</f>
        <v>1.2443037974683544</v>
      </c>
      <c r="Q17" s="27">
        <v>-9.11</v>
      </c>
      <c r="R17" s="27">
        <f>Tabela11[[#This Row],[NICS(1)]]/$Q$3</f>
        <v>0.91191191191191179</v>
      </c>
      <c r="S17" s="27">
        <v>-24.94</v>
      </c>
      <c r="T17" s="27">
        <f>Tabela11[[#This Row],[Coluna7]]/$S$3</f>
        <v>0.83133333333333337</v>
      </c>
      <c r="V17" s="14"/>
      <c r="W17" s="14"/>
      <c r="X17" s="46"/>
      <c r="Y17" s="7" t="s">
        <v>57</v>
      </c>
      <c r="Z17" s="27">
        <v>0.997</v>
      </c>
      <c r="AA17" s="27">
        <v>3.0000000000000001E-3</v>
      </c>
      <c r="AB17" s="27">
        <v>1E-3</v>
      </c>
      <c r="AC17" s="27">
        <v>0.91</v>
      </c>
      <c r="AD17" s="27">
        <v>8.8999999999999996E-2</v>
      </c>
      <c r="AE17" s="27">
        <v>1E-3</v>
      </c>
      <c r="AF17" s="27">
        <v>0.86899999999999999</v>
      </c>
      <c r="AG17" s="27">
        <v>0.85</v>
      </c>
      <c r="AH17" s="27">
        <v>1.9E-2</v>
      </c>
      <c r="AI17" s="27">
        <v>0.98099999999999998</v>
      </c>
      <c r="AJ17" s="27">
        <v>3.7699999999999997E-2</v>
      </c>
      <c r="AK17" s="27">
        <v>5.6000000000000001E-2</v>
      </c>
      <c r="AL17" s="8">
        <v>-9.83</v>
      </c>
      <c r="AM17" s="27">
        <f>Tabela1118[[#This Row],[NICS(0)]]/$O$3</f>
        <v>1.2443037974683544</v>
      </c>
      <c r="AN17" s="27">
        <v>-9.11</v>
      </c>
      <c r="AO17" s="27">
        <f>Tabela1118[[#This Row],[NICS(1)]]/$Q$3</f>
        <v>0.91191191191191179</v>
      </c>
      <c r="AP17" s="27">
        <v>-24.94</v>
      </c>
      <c r="AQ17" s="27">
        <f>Tabela1118[[#This Row],[Coluna7]]/$S$3</f>
        <v>0.83133333333333337</v>
      </c>
    </row>
    <row r="18" spans="1:43" x14ac:dyDescent="0.25">
      <c r="A18" s="46"/>
      <c r="B18" s="7" t="s">
        <v>58</v>
      </c>
      <c r="C18" s="27">
        <v>-0.80800000000000005</v>
      </c>
      <c r="D18" s="27">
        <v>0.45400000000000001</v>
      </c>
      <c r="E18" s="27">
        <v>1.353</v>
      </c>
      <c r="F18" s="27">
        <v>-0.68400000000000005</v>
      </c>
      <c r="G18" s="27">
        <v>0.40799999999999997</v>
      </c>
      <c r="H18" s="27">
        <v>1.2769999999999999</v>
      </c>
      <c r="I18" s="27">
        <v>0.999</v>
      </c>
      <c r="J18" s="27">
        <v>0.313</v>
      </c>
      <c r="K18" s="27">
        <v>0.68600000000000005</v>
      </c>
      <c r="L18" s="27">
        <v>0.314</v>
      </c>
      <c r="M18" s="27">
        <v>4.8999999999999998E-3</v>
      </c>
      <c r="N18" s="27">
        <v>4.7000000000000002E-3</v>
      </c>
      <c r="O18" s="8">
        <v>8.86</v>
      </c>
      <c r="P18" s="27">
        <f>Tabela11[[#This Row],[NICS(0)]]/$O$3</f>
        <v>-1.1215189873417721</v>
      </c>
      <c r="Q18" s="27">
        <v>1.37</v>
      </c>
      <c r="R18" s="27">
        <f>Tabela11[[#This Row],[NICS(1)]]/$Q$3</f>
        <v>-0.13713713713713716</v>
      </c>
      <c r="S18" s="27">
        <v>3.2</v>
      </c>
      <c r="T18" s="27">
        <f>Tabela11[[#This Row],[Coluna7]]/$S$3</f>
        <v>-0.10666666666666667</v>
      </c>
      <c r="V18" s="14"/>
      <c r="W18" s="14"/>
      <c r="X18" s="46"/>
      <c r="Y18" s="7" t="s">
        <v>58</v>
      </c>
      <c r="Z18" s="27">
        <v>-0.80800000000000005</v>
      </c>
      <c r="AA18" s="27">
        <v>0.45400000000000001</v>
      </c>
      <c r="AB18" s="27">
        <v>1.353</v>
      </c>
      <c r="AC18" s="27">
        <v>-0.68400000000000005</v>
      </c>
      <c r="AD18" s="27">
        <v>0.40799999999999997</v>
      </c>
      <c r="AE18" s="27">
        <v>1.2769999999999999</v>
      </c>
      <c r="AF18" s="27">
        <v>0.999</v>
      </c>
      <c r="AG18" s="27">
        <v>0.313</v>
      </c>
      <c r="AH18" s="27">
        <v>0.68600000000000005</v>
      </c>
      <c r="AI18" s="27">
        <v>0.314</v>
      </c>
      <c r="AJ18" s="27">
        <v>4.8999999999999998E-3</v>
      </c>
      <c r="AK18" s="27">
        <v>4.7000000000000002E-3</v>
      </c>
      <c r="AL18" s="8">
        <v>8.86</v>
      </c>
      <c r="AM18" s="27">
        <f>Tabela1118[[#This Row],[NICS(0)]]/$O$3</f>
        <v>-1.1215189873417721</v>
      </c>
      <c r="AN18" s="27">
        <v>1.37</v>
      </c>
      <c r="AO18" s="27">
        <f>Tabela1118[[#This Row],[NICS(1)]]/$Q$3</f>
        <v>-0.13713713713713716</v>
      </c>
      <c r="AP18" s="27">
        <v>3.2</v>
      </c>
      <c r="AQ18" s="27">
        <f>Tabela1118[[#This Row],[Coluna7]]/$S$3</f>
        <v>-0.10666666666666667</v>
      </c>
    </row>
  </sheetData>
  <mergeCells count="6">
    <mergeCell ref="C1:T1"/>
    <mergeCell ref="A3:A12"/>
    <mergeCell ref="A13:A18"/>
    <mergeCell ref="Z1:AQ1"/>
    <mergeCell ref="X3:X12"/>
    <mergeCell ref="X13:X18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B13C-485A-4C8B-BBBA-0649CC7DA6A2}">
  <dimension ref="A1:AA40"/>
  <sheetViews>
    <sheetView zoomScale="40" zoomScaleNormal="40" workbookViewId="0">
      <selection activeCell="P26" sqref="P26"/>
    </sheetView>
  </sheetViews>
  <sheetFormatPr defaultRowHeight="15" x14ac:dyDescent="0.25"/>
  <cols>
    <col min="3" max="3" width="8.7109375" style="7" bestFit="1" customWidth="1"/>
    <col min="4" max="4" width="8.85546875" style="7" bestFit="1" customWidth="1"/>
    <col min="5" max="7" width="6.85546875" style="7" bestFit="1" customWidth="1"/>
    <col min="8" max="8" width="10.28515625" style="7" bestFit="1" customWidth="1"/>
    <col min="9" max="9" width="23.5703125" style="7" bestFit="1" customWidth="1"/>
    <col min="10" max="10" width="23.140625" style="7" bestFit="1" customWidth="1"/>
    <col min="11" max="11" width="43" style="7" bestFit="1" customWidth="1"/>
    <col min="12" max="12" width="46.5703125" bestFit="1" customWidth="1"/>
    <col min="13" max="13" width="28.7109375" bestFit="1" customWidth="1"/>
    <col min="14" max="14" width="14" bestFit="1" customWidth="1"/>
    <col min="15" max="15" width="13.5703125" bestFit="1" customWidth="1"/>
    <col min="16" max="16" width="10.5703125" bestFit="1" customWidth="1"/>
    <col min="17" max="17" width="10.28515625" bestFit="1" customWidth="1"/>
    <col min="20" max="20" width="8.7109375" bestFit="1" customWidth="1"/>
    <col min="23" max="23" width="14" bestFit="1" customWidth="1"/>
    <col min="24" max="24" width="15.5703125" bestFit="1" customWidth="1"/>
    <col min="25" max="25" width="16.140625" bestFit="1" customWidth="1"/>
    <col min="27" max="27" width="14.42578125" bestFit="1" customWidth="1"/>
  </cols>
  <sheetData>
    <row r="1" spans="1:27" x14ac:dyDescent="0.25">
      <c r="A1" s="7"/>
      <c r="B1" s="7"/>
      <c r="C1" s="45" t="s">
        <v>67</v>
      </c>
      <c r="D1" s="45"/>
      <c r="E1" s="45"/>
      <c r="F1" s="45"/>
      <c r="G1" s="45"/>
      <c r="H1" s="45"/>
      <c r="I1" s="45"/>
      <c r="J1" s="45"/>
      <c r="K1" s="45"/>
      <c r="L1" s="47" t="s">
        <v>80</v>
      </c>
      <c r="M1" s="47"/>
      <c r="N1" s="47"/>
      <c r="O1" s="47"/>
      <c r="P1" s="47"/>
      <c r="Q1" s="47"/>
      <c r="T1" s="7"/>
      <c r="W1" t="s">
        <v>103</v>
      </c>
      <c r="X1" t="s">
        <v>104</v>
      </c>
      <c r="Y1" t="s">
        <v>105</v>
      </c>
      <c r="Z1" t="s">
        <v>106</v>
      </c>
      <c r="AA1" t="s">
        <v>107</v>
      </c>
    </row>
    <row r="2" spans="1:27" x14ac:dyDescent="0.25">
      <c r="A2" s="12"/>
      <c r="B2" s="11" t="s">
        <v>39</v>
      </c>
      <c r="C2" s="13" t="s">
        <v>40</v>
      </c>
      <c r="D2" s="13" t="s">
        <v>49</v>
      </c>
      <c r="E2" s="13" t="s">
        <v>71</v>
      </c>
      <c r="F2" s="13" t="s">
        <v>72</v>
      </c>
      <c r="G2" s="13" t="s">
        <v>73</v>
      </c>
      <c r="H2" s="13" t="s">
        <v>52</v>
      </c>
      <c r="I2" s="13" t="s">
        <v>83</v>
      </c>
      <c r="J2" s="13" t="s">
        <v>82</v>
      </c>
      <c r="K2" s="13" t="s">
        <v>81</v>
      </c>
      <c r="L2" s="9" t="s">
        <v>1</v>
      </c>
      <c r="M2" s="9" t="s">
        <v>2</v>
      </c>
      <c r="N2" s="9" t="s">
        <v>3</v>
      </c>
      <c r="O2" s="9" t="s">
        <v>4</v>
      </c>
      <c r="P2" s="9" t="s">
        <v>7</v>
      </c>
      <c r="Q2" s="10" t="s">
        <v>8</v>
      </c>
      <c r="S2" s="12"/>
      <c r="T2" s="11" t="s">
        <v>39</v>
      </c>
      <c r="U2" s="11" t="s">
        <v>96</v>
      </c>
      <c r="V2" s="11" t="s">
        <v>97</v>
      </c>
      <c r="W2" s="11" t="s">
        <v>100</v>
      </c>
      <c r="X2" s="11" t="s">
        <v>101</v>
      </c>
      <c r="Y2" s="31" t="s">
        <v>98</v>
      </c>
      <c r="Z2" s="31" t="s">
        <v>102</v>
      </c>
      <c r="AA2" s="31" t="s">
        <v>99</v>
      </c>
    </row>
    <row r="3" spans="1:27" ht="15" customHeight="1" x14ac:dyDescent="0.25">
      <c r="A3" s="46" t="s">
        <v>66</v>
      </c>
      <c r="B3" s="7" t="s">
        <v>43</v>
      </c>
      <c r="C3" s="27">
        <v>0.998</v>
      </c>
      <c r="D3" s="27">
        <v>0.92500000000000004</v>
      </c>
      <c r="E3" s="27">
        <v>1</v>
      </c>
      <c r="F3" s="27">
        <v>4.7899999999999998E-2</v>
      </c>
      <c r="G3" s="27">
        <v>7.17E-2</v>
      </c>
      <c r="H3" s="8">
        <v>-7.9</v>
      </c>
      <c r="I3" s="27">
        <v>1</v>
      </c>
      <c r="J3" s="27">
        <v>1</v>
      </c>
      <c r="K3" s="27">
        <v>1</v>
      </c>
      <c r="L3" s="14">
        <v>1</v>
      </c>
      <c r="M3" s="14">
        <v>1</v>
      </c>
      <c r="N3" s="14">
        <v>1</v>
      </c>
      <c r="O3" s="14">
        <v>1</v>
      </c>
      <c r="P3" s="14">
        <v>1</v>
      </c>
      <c r="Q3" s="14">
        <v>1</v>
      </c>
      <c r="S3" s="46" t="s">
        <v>66</v>
      </c>
      <c r="T3" s="7" t="s">
        <v>43</v>
      </c>
      <c r="U3" s="7">
        <v>-0.25934000000000001</v>
      </c>
      <c r="V3" s="7">
        <v>-1.438E-2</v>
      </c>
      <c r="W3" s="7">
        <f>-Tabela121621677388[[#This Row],[X]]</f>
        <v>0.25934000000000001</v>
      </c>
      <c r="X3" s="7">
        <f>-Tabela12162167737489[[#This Row],[X]]</f>
        <v>1.438E-2</v>
      </c>
      <c r="Y3" s="7">
        <f t="shared" ref="Y3:Y18" si="0">-(SUM(U3:V3)/2)*27.2114</f>
        <v>3.7241522040000006</v>
      </c>
      <c r="Z3" s="7">
        <f>(Tabela12162167738894[[#This Row],[X]]-Tabela1216216773748995[[#This Row],[X]])/2</f>
        <v>0.12248000000000001</v>
      </c>
      <c r="AA3" s="7">
        <f>(Tabela12162167737590[[#This Row],[X]]^2)/(2*Z3)</f>
        <v>56.618670960802014</v>
      </c>
    </row>
    <row r="4" spans="1:27" x14ac:dyDescent="0.25">
      <c r="A4" s="46"/>
      <c r="B4" s="7" t="s">
        <v>44</v>
      </c>
      <c r="C4" s="27">
        <v>0.997</v>
      </c>
      <c r="D4" s="27">
        <v>0.90700000000000003</v>
      </c>
      <c r="E4" s="27">
        <v>0.98199999999999998</v>
      </c>
      <c r="F4" s="27">
        <v>4.5499999999999999E-2</v>
      </c>
      <c r="G4" s="27">
        <v>6.7900000000000002E-2</v>
      </c>
      <c r="H4" s="8">
        <v>-7.84</v>
      </c>
      <c r="I4" s="27">
        <v>0.9924050632911392</v>
      </c>
      <c r="J4" s="27">
        <v>0.98498498498498499</v>
      </c>
      <c r="K4" s="27">
        <v>0.96233333333333337</v>
      </c>
      <c r="L4" s="14">
        <v>1.0033147447031801</v>
      </c>
      <c r="M4" s="14">
        <v>0.9460714636171601</v>
      </c>
      <c r="N4" s="14">
        <v>0.93005608261814998</v>
      </c>
      <c r="O4" s="14">
        <v>0.92924241268461205</v>
      </c>
      <c r="P4" s="14">
        <v>0.98092907011598995</v>
      </c>
      <c r="Q4" s="14">
        <v>0.96263233224350897</v>
      </c>
      <c r="S4" s="46"/>
      <c r="T4" s="7" t="s">
        <v>44</v>
      </c>
      <c r="U4" s="7">
        <v>-0.24715000000000001</v>
      </c>
      <c r="V4" s="7">
        <v>-1.295E-2</v>
      </c>
      <c r="W4" s="7">
        <f>-Tabela121621677388[[#This Row],[X]]</f>
        <v>0.24715000000000001</v>
      </c>
      <c r="X4" s="7">
        <f>-Tabela12162167737489[[#This Row],[X]]</f>
        <v>1.295E-2</v>
      </c>
      <c r="Y4" s="7">
        <f t="shared" si="0"/>
        <v>3.5388425699999999</v>
      </c>
      <c r="Z4" s="7">
        <f>(Tabela12162167738894[[#This Row],[X]]-Tabela1216216773748995[[#This Row],[X]])/2</f>
        <v>0.11710000000000001</v>
      </c>
      <c r="AA4" s="7">
        <f>(Tabela12162167737590[[#This Row],[X]]^2)/(2*Z4)</f>
        <v>53.473128673117863</v>
      </c>
    </row>
    <row r="5" spans="1:27" ht="21" x14ac:dyDescent="0.25">
      <c r="A5" s="46"/>
      <c r="B5" s="7" t="s">
        <v>63</v>
      </c>
      <c r="C5" s="27">
        <v>0.70199999999999996</v>
      </c>
      <c r="D5" s="27">
        <v>0.58699999999999997</v>
      </c>
      <c r="E5" s="27">
        <v>0.64600000000000002</v>
      </c>
      <c r="F5" s="27">
        <v>2.3E-2</v>
      </c>
      <c r="G5" s="27">
        <v>3.0599999999999999E-2</v>
      </c>
      <c r="H5" s="8">
        <v>1.75</v>
      </c>
      <c r="I5" s="27">
        <v>-0.22151898734177214</v>
      </c>
      <c r="J5" s="27">
        <v>7.407407407407407E-2</v>
      </c>
      <c r="K5" s="27">
        <v>0.11066666666666666</v>
      </c>
      <c r="L5" s="14">
        <v>1.2415627239045701</v>
      </c>
      <c r="M5" s="14">
        <v>1.3348602478680101</v>
      </c>
      <c r="N5" s="14">
        <v>1.73512971173583</v>
      </c>
      <c r="O5" s="14">
        <v>-0.40923835826764898</v>
      </c>
      <c r="P5" s="14">
        <v>1.03336172037375</v>
      </c>
      <c r="Q5" s="14">
        <v>1.01810616753118</v>
      </c>
      <c r="S5" s="46"/>
      <c r="T5" s="7" t="s">
        <v>63</v>
      </c>
      <c r="U5" s="7">
        <v>3.8550000000000001E-2</v>
      </c>
      <c r="V5" s="7">
        <v>0.17277000000000001</v>
      </c>
      <c r="W5" s="7">
        <f>-Tabela121621677388[[#This Row],[X]]</f>
        <v>-3.8550000000000001E-2</v>
      </c>
      <c r="X5" s="7">
        <f>-Tabela12162167737489[[#This Row],[X]]</f>
        <v>-0.17277000000000001</v>
      </c>
      <c r="Y5" s="7">
        <f t="shared" si="0"/>
        <v>-2.8751565240000003</v>
      </c>
      <c r="Z5" s="7">
        <f>(Tabela12162167738894[[#This Row],[X]]-Tabela1216216773748995[[#This Row],[X]])/2</f>
        <v>6.7110000000000003E-2</v>
      </c>
      <c r="AA5" s="7">
        <f>(Tabela12162167737590[[#This Row],[X]]^2)/(2*Z5)</f>
        <v>61.589368480850574</v>
      </c>
    </row>
    <row r="6" spans="1:27" ht="18" x14ac:dyDescent="0.25">
      <c r="A6" s="46"/>
      <c r="B6" s="7" t="s">
        <v>64</v>
      </c>
      <c r="C6" s="27">
        <v>0.74299999999999999</v>
      </c>
      <c r="D6" s="27">
        <v>0.70899999999999996</v>
      </c>
      <c r="E6" s="27">
        <v>0.625</v>
      </c>
      <c r="F6" s="27">
        <v>2.2499999999999999E-2</v>
      </c>
      <c r="G6" s="27">
        <v>2.6200000000000001E-2</v>
      </c>
      <c r="H6" s="8">
        <v>-1.28</v>
      </c>
      <c r="I6" s="27">
        <v>0.16202531645569621</v>
      </c>
      <c r="J6" s="27">
        <v>0.5805805805805806</v>
      </c>
      <c r="K6" s="27">
        <v>0.50166666666666671</v>
      </c>
      <c r="L6" s="14">
        <v>0.81893964196884195</v>
      </c>
      <c r="M6" s="14">
        <v>0.70289724501196704</v>
      </c>
      <c r="N6" s="14">
        <v>2.87725792535762</v>
      </c>
      <c r="O6" s="14">
        <v>2.59299157106219</v>
      </c>
      <c r="P6" s="14">
        <v>0.88848260350847896</v>
      </c>
      <c r="Q6" s="14">
        <v>0.87368561054965599</v>
      </c>
      <c r="S6" s="46"/>
      <c r="T6" s="7" t="s">
        <v>64</v>
      </c>
      <c r="U6" s="7">
        <v>-0.46645999999999999</v>
      </c>
      <c r="V6" s="7">
        <v>-0.33146999999999999</v>
      </c>
      <c r="W6" s="7">
        <f>-Tabela121621677388[[#This Row],[X]]</f>
        <v>0.46645999999999999</v>
      </c>
      <c r="X6" s="7">
        <f>-Tabela12162167737489[[#This Row],[X]]</f>
        <v>0.33146999999999999</v>
      </c>
      <c r="Y6" s="7">
        <f t="shared" si="0"/>
        <v>10.856396201000001</v>
      </c>
      <c r="Z6" s="7">
        <f>(Tabela12162167738894[[#This Row],[X]]-Tabela1216216773748995[[#This Row],[X]])/2</f>
        <v>6.7494999999999999E-2</v>
      </c>
      <c r="AA6" s="7">
        <f>(Tabela12162167737590[[#This Row],[X]]^2)/(2*Z6)</f>
        <v>873.11162658780086</v>
      </c>
    </row>
    <row r="7" spans="1:27" x14ac:dyDescent="0.25">
      <c r="A7" s="46"/>
      <c r="B7" s="7" t="s">
        <v>45</v>
      </c>
      <c r="C7" s="27">
        <v>0.99199999999999999</v>
      </c>
      <c r="D7" s="27">
        <v>0.89500000000000002</v>
      </c>
      <c r="E7" s="27">
        <v>0.86899999999999999</v>
      </c>
      <c r="F7" s="27">
        <v>4.0399999999999998E-2</v>
      </c>
      <c r="G7" s="27">
        <v>5.96E-2</v>
      </c>
      <c r="H7" s="8">
        <v>-7.65</v>
      </c>
      <c r="I7" s="27">
        <v>0.96835443037974689</v>
      </c>
      <c r="J7" s="27">
        <v>0.86886886886886883</v>
      </c>
      <c r="K7" s="27">
        <v>0.83933333333333338</v>
      </c>
      <c r="L7" s="14">
        <v>1.03521902173937</v>
      </c>
      <c r="M7" s="14">
        <v>1.0128949438805099</v>
      </c>
      <c r="N7" s="14">
        <v>1.5514782076829801</v>
      </c>
      <c r="O7" s="14">
        <v>1.3739065874870999</v>
      </c>
      <c r="P7" s="14">
        <v>0.975662579329867</v>
      </c>
      <c r="Q7" s="14">
        <v>0.95540852524362196</v>
      </c>
      <c r="S7" s="46"/>
      <c r="T7" s="7" t="s">
        <v>45</v>
      </c>
      <c r="U7" s="7">
        <v>-0.21034</v>
      </c>
      <c r="V7" s="7">
        <v>-9.1500000000000001E-3</v>
      </c>
      <c r="W7" s="7">
        <f>-Tabela121621677388[[#This Row],[X]]</f>
        <v>0.21034</v>
      </c>
      <c r="X7" s="7">
        <f>-Tabela12162167737489[[#This Row],[X]]</f>
        <v>9.1500000000000001E-3</v>
      </c>
      <c r="Y7" s="7">
        <f t="shared" si="0"/>
        <v>2.986315093</v>
      </c>
      <c r="Z7" s="7">
        <f>(Tabela12162167738894[[#This Row],[X]]-Tabela1216216773748995[[#This Row],[X]])/2</f>
        <v>0.100595</v>
      </c>
      <c r="AA7" s="7">
        <f>(Tabela12162167737590[[#This Row],[X]]^2)/(2*Z7)</f>
        <v>44.326645631888255</v>
      </c>
    </row>
    <row r="8" spans="1:27" ht="21" x14ac:dyDescent="0.25">
      <c r="A8" s="46"/>
      <c r="B8" s="7" t="s">
        <v>84</v>
      </c>
      <c r="C8" s="27">
        <v>0.72399999999999998</v>
      </c>
      <c r="D8" s="27">
        <v>0.59299999999999997</v>
      </c>
      <c r="E8" s="27">
        <v>0.67500000000000004</v>
      </c>
      <c r="F8" s="27">
        <v>2.46E-2</v>
      </c>
      <c r="G8" s="27">
        <v>3.3599999999999998E-2</v>
      </c>
      <c r="H8" s="8">
        <v>-1.73</v>
      </c>
      <c r="I8" s="27">
        <v>0.2189873417721519</v>
      </c>
      <c r="J8" s="27">
        <v>0.35935935935935936</v>
      </c>
      <c r="K8" s="27">
        <v>0.38999999999999996</v>
      </c>
      <c r="L8" s="14">
        <v>1.2223549481137999</v>
      </c>
      <c r="M8" s="14">
        <v>1.28279011902186</v>
      </c>
      <c r="N8" s="14">
        <v>2.2796642078926599</v>
      </c>
      <c r="O8" s="14">
        <v>-0.75465953172877309</v>
      </c>
      <c r="P8" s="14">
        <v>1.0159562958683899</v>
      </c>
      <c r="Q8" s="14">
        <v>0.99091614706471998</v>
      </c>
      <c r="S8" s="46"/>
      <c r="T8" s="7" t="s">
        <v>84</v>
      </c>
      <c r="U8" s="7">
        <v>1.6299999999999999E-2</v>
      </c>
      <c r="V8" s="7">
        <v>0.16822999999999999</v>
      </c>
      <c r="W8" s="7">
        <f>-Tabela121621677388[[#This Row],[X]]</f>
        <v>-1.6299999999999999E-2</v>
      </c>
      <c r="X8" s="7">
        <f>-Tabela12162167737489[[#This Row],[X]]</f>
        <v>-0.16822999999999999</v>
      </c>
      <c r="Y8" s="7">
        <f t="shared" si="0"/>
        <v>-2.510659821</v>
      </c>
      <c r="Z8" s="7">
        <f>(Tabela12162167738894[[#This Row],[X]]-Tabela1216216773748995[[#This Row],[X]])/2</f>
        <v>7.5964999999999991E-2</v>
      </c>
      <c r="AA8" s="7">
        <f>(Tabela12162167737590[[#This Row],[X]]^2)/(2*Z8)</f>
        <v>41.488927379607404</v>
      </c>
    </row>
    <row r="9" spans="1:27" ht="18" x14ac:dyDescent="0.25">
      <c r="A9" s="46"/>
      <c r="B9" s="7" t="s">
        <v>85</v>
      </c>
      <c r="C9" s="27">
        <v>0.44800000000000001</v>
      </c>
      <c r="D9" s="27">
        <v>0.437</v>
      </c>
      <c r="E9" s="27">
        <v>0.44800000000000001</v>
      </c>
      <c r="F9" s="27">
        <v>1.32E-2</v>
      </c>
      <c r="G9" s="27">
        <v>1.03E-2</v>
      </c>
      <c r="H9" s="8">
        <v>4.67</v>
      </c>
      <c r="I9" s="27">
        <v>-0.59113924050632904</v>
      </c>
      <c r="J9" s="27">
        <v>0.17917917917917917</v>
      </c>
      <c r="K9" s="27">
        <v>0.14233333333333331</v>
      </c>
      <c r="L9" s="14">
        <v>0.78221422514324201</v>
      </c>
      <c r="M9" s="14">
        <v>0.62660383410965403</v>
      </c>
      <c r="N9" s="14">
        <v>2.2818572155560002</v>
      </c>
      <c r="O9" s="14">
        <v>2.0353251527459699</v>
      </c>
      <c r="P9" s="14">
        <v>0.83350703025899708</v>
      </c>
      <c r="Q9" s="14">
        <v>0.82168968399070097</v>
      </c>
      <c r="S9" s="46"/>
      <c r="T9" s="7" t="s">
        <v>85</v>
      </c>
      <c r="U9" s="7">
        <v>-0.48866999999999999</v>
      </c>
      <c r="V9" s="7">
        <v>-0.36336000000000002</v>
      </c>
      <c r="W9" s="7">
        <f>-Tabela121621677388[[#This Row],[X]]</f>
        <v>0.48866999999999999</v>
      </c>
      <c r="X9" s="7">
        <f>-Tabela12162167737489[[#This Row],[X]]</f>
        <v>0.36336000000000002</v>
      </c>
      <c r="Y9" s="7">
        <f t="shared" si="0"/>
        <v>11.592464571000001</v>
      </c>
      <c r="Z9" s="7">
        <f>(Tabela12162167738894[[#This Row],[X]]-Tabela1216216773748995[[#This Row],[X]])/2</f>
        <v>6.2654999999999988E-2</v>
      </c>
      <c r="AA9" s="7">
        <f>(Tabela12162167737590[[#This Row],[X]]^2)/(2*Z9)</f>
        <v>1072.4222714060352</v>
      </c>
    </row>
    <row r="10" spans="1:27" x14ac:dyDescent="0.25">
      <c r="A10" s="46"/>
      <c r="B10" s="7" t="s">
        <v>46</v>
      </c>
      <c r="C10" s="27">
        <v>0.997</v>
      </c>
      <c r="D10" s="27">
        <v>0.91700000000000004</v>
      </c>
      <c r="E10" s="27">
        <v>0.95499999999999996</v>
      </c>
      <c r="F10" s="27">
        <v>4.19E-2</v>
      </c>
      <c r="G10" s="27">
        <v>6.2199999999999998E-2</v>
      </c>
      <c r="H10" s="8">
        <v>-8.81</v>
      </c>
      <c r="I10" s="27">
        <v>1.1151898734177215</v>
      </c>
      <c r="J10" s="27">
        <v>0.94494494494494485</v>
      </c>
      <c r="K10" s="27">
        <v>0.90700000000000003</v>
      </c>
      <c r="L10" s="14">
        <v>1.02195058573774</v>
      </c>
      <c r="M10" s="14">
        <v>0.98369869294585499</v>
      </c>
      <c r="N10" s="14">
        <v>1.4547242839722001</v>
      </c>
      <c r="O10" s="14">
        <v>1.05887943438793</v>
      </c>
      <c r="P10" s="14">
        <v>0.97803279794977993</v>
      </c>
      <c r="Q10" s="14">
        <v>0.95398123279159708</v>
      </c>
      <c r="S10" s="46"/>
      <c r="T10" s="7" t="s">
        <v>46</v>
      </c>
      <c r="U10" s="7">
        <v>-0.23258000000000001</v>
      </c>
      <c r="V10" s="7">
        <v>-1.702E-2</v>
      </c>
      <c r="W10" s="7">
        <f>-Tabela121621677388[[#This Row],[X]]</f>
        <v>0.23258000000000001</v>
      </c>
      <c r="X10" s="7">
        <f>-Tabela12162167737489[[#This Row],[X]]</f>
        <v>1.702E-2</v>
      </c>
      <c r="Y10" s="7">
        <f t="shared" si="0"/>
        <v>3.3959827200000006</v>
      </c>
      <c r="Z10" s="7">
        <f>(Tabela12162167738894[[#This Row],[X]]-Tabela1216216773748995[[#This Row],[X]])/2</f>
        <v>0.10778</v>
      </c>
      <c r="AA10" s="7">
        <f>(Tabela12162167737590[[#This Row],[X]]^2)/(2*Z10)</f>
        <v>53.501107044621463</v>
      </c>
    </row>
    <row r="11" spans="1:27" x14ac:dyDescent="0.25">
      <c r="A11" s="46"/>
      <c r="B11" s="7" t="s">
        <v>47</v>
      </c>
      <c r="C11" s="27">
        <v>0.73599999999999999</v>
      </c>
      <c r="D11" s="27">
        <v>0.53700000000000003</v>
      </c>
      <c r="E11" s="27">
        <v>0.753</v>
      </c>
      <c r="F11" s="27">
        <v>2.7199999999999998E-2</v>
      </c>
      <c r="G11" s="27">
        <v>3.7900000000000003E-2</v>
      </c>
      <c r="H11" s="8">
        <v>-3.93</v>
      </c>
      <c r="I11" s="27">
        <v>0.49746835443037973</v>
      </c>
      <c r="J11" s="27">
        <v>0.56556556556556559</v>
      </c>
      <c r="K11" s="27">
        <v>0.60566666666666669</v>
      </c>
      <c r="L11" s="14">
        <v>1.2015932661212401</v>
      </c>
      <c r="M11" s="14">
        <v>1.2338147537531099</v>
      </c>
      <c r="N11" s="14">
        <v>2.23554159730792</v>
      </c>
      <c r="O11" s="14">
        <v>-0.94512203829891406</v>
      </c>
      <c r="P11" s="14">
        <v>1.00481190111781</v>
      </c>
      <c r="Q11" s="14">
        <v>0.96793455496862502</v>
      </c>
      <c r="S11" s="46"/>
      <c r="T11" s="7" t="s">
        <v>47</v>
      </c>
      <c r="U11" s="7">
        <v>-4.8700000000000002E-3</v>
      </c>
      <c r="V11" s="7">
        <v>0.16553999999999999</v>
      </c>
      <c r="W11" s="7">
        <f>-Tabela121621677388[[#This Row],[X]]</f>
        <v>4.8700000000000002E-3</v>
      </c>
      <c r="X11" s="7">
        <f>-Tabela12162167737489[[#This Row],[X]]</f>
        <v>-0.16553999999999999</v>
      </c>
      <c r="Y11" s="7">
        <f t="shared" si="0"/>
        <v>-2.186027819</v>
      </c>
      <c r="Z11" s="7">
        <f>(Tabela12162167738894[[#This Row],[X]]-Tabela1216216773748995[[#This Row],[X]])/2</f>
        <v>8.5205000000000003E-2</v>
      </c>
      <c r="AA11" s="7">
        <f>(Tabela12162167737590[[#This Row],[X]]^2)/(2*Z11)</f>
        <v>28.042471835232067</v>
      </c>
    </row>
    <row r="12" spans="1:27" x14ac:dyDescent="0.25">
      <c r="A12" s="46"/>
      <c r="B12" s="7" t="s">
        <v>48</v>
      </c>
      <c r="C12" s="27">
        <v>-0.1</v>
      </c>
      <c r="D12" s="27">
        <v>-7.5999999999999998E-2</v>
      </c>
      <c r="E12" s="27">
        <v>0.27800000000000002</v>
      </c>
      <c r="F12" s="27">
        <v>7.0000000000000001E-3</v>
      </c>
      <c r="G12" s="27">
        <v>1E-4</v>
      </c>
      <c r="H12" s="8">
        <v>13.86</v>
      </c>
      <c r="I12" s="27">
        <v>-1.7544303797468352</v>
      </c>
      <c r="J12" s="27">
        <v>-0.3913913913913914</v>
      </c>
      <c r="K12" s="27">
        <v>-0.312</v>
      </c>
      <c r="L12" s="14">
        <v>0.75374966280618194</v>
      </c>
      <c r="M12" s="14">
        <v>0.55936173155264302</v>
      </c>
      <c r="N12" s="14">
        <v>1.65588083775957</v>
      </c>
      <c r="O12" s="14">
        <v>1.5611114536234201</v>
      </c>
      <c r="P12" s="14">
        <v>0.78894533211844697</v>
      </c>
      <c r="Q12" s="14">
        <v>0.76788333918940099</v>
      </c>
      <c r="S12" s="46"/>
      <c r="T12" s="7" t="s">
        <v>48</v>
      </c>
      <c r="U12" s="7">
        <v>-0.48920999999999998</v>
      </c>
      <c r="V12" s="7">
        <v>-0.38985999999999998</v>
      </c>
      <c r="W12" s="7">
        <f>-Tabela121621677388[[#This Row],[X]]</f>
        <v>0.48920999999999998</v>
      </c>
      <c r="X12" s="7">
        <f>-Tabela12162167737489[[#This Row],[X]]</f>
        <v>0.38985999999999998</v>
      </c>
      <c r="Y12" s="7">
        <f t="shared" si="0"/>
        <v>11.960362699000001</v>
      </c>
      <c r="Z12" s="7">
        <f>(Tabela12162167738894[[#This Row],[X]]-Tabela1216216773748995[[#This Row],[X]])/2</f>
        <v>4.9674999999999997E-2</v>
      </c>
      <c r="AA12" s="7">
        <f>(Tabela12162167737590[[#This Row],[X]]^2)/(2*Z12)</f>
        <v>1439.8618610128897</v>
      </c>
    </row>
    <row r="13" spans="1:27" ht="15" customHeight="1" x14ac:dyDescent="0.25">
      <c r="A13" s="46" t="s">
        <v>65</v>
      </c>
      <c r="B13" s="7" t="s">
        <v>53</v>
      </c>
      <c r="C13" s="27">
        <v>0.997</v>
      </c>
      <c r="D13" s="27">
        <v>0.89</v>
      </c>
      <c r="E13" s="27">
        <v>0.97599999999999998</v>
      </c>
      <c r="F13" s="27">
        <v>4.3400000000000001E-2</v>
      </c>
      <c r="G13" s="27">
        <v>6.4399999999999999E-2</v>
      </c>
      <c r="H13" s="8">
        <v>-7.8</v>
      </c>
      <c r="I13" s="27">
        <v>0.98734177215189867</v>
      </c>
      <c r="J13" s="27">
        <v>0.95595595595595606</v>
      </c>
      <c r="K13" s="27">
        <v>0.91099999999999992</v>
      </c>
      <c r="L13" s="14">
        <v>0.96183348772569399</v>
      </c>
      <c r="M13" s="14">
        <v>1.01844577794024</v>
      </c>
      <c r="N13" s="14">
        <v>0.901746046508063</v>
      </c>
      <c r="O13" s="14">
        <v>0.89270406970810601</v>
      </c>
      <c r="P13" s="14">
        <v>0.94459564348259306</v>
      </c>
      <c r="Q13" s="14">
        <v>0.93707010010898206</v>
      </c>
      <c r="S13" s="46" t="s">
        <v>65</v>
      </c>
      <c r="T13" s="7" t="s">
        <v>53</v>
      </c>
      <c r="U13" s="7">
        <v>-0.23643</v>
      </c>
      <c r="V13" s="7">
        <v>-1.1690000000000001E-2</v>
      </c>
      <c r="W13" s="7">
        <f>-Tabela121621677388[[#This Row],[X]]</f>
        <v>0.23643</v>
      </c>
      <c r="X13" s="7">
        <f>-Tabela12162167737489[[#This Row],[X]]</f>
        <v>1.1690000000000001E-2</v>
      </c>
      <c r="Y13" s="7">
        <f t="shared" si="0"/>
        <v>3.3758462840000001</v>
      </c>
      <c r="Z13" s="7">
        <f>(Tabela12162167738894[[#This Row],[X]]-Tabela1216216773748995[[#This Row],[X]])/2</f>
        <v>0.11237</v>
      </c>
      <c r="AA13" s="7">
        <f>(Tabela12162167737590[[#This Row],[X]]^2)/(2*Z13)</f>
        <v>50.70898875677053</v>
      </c>
    </row>
    <row r="14" spans="1:27" x14ac:dyDescent="0.25">
      <c r="A14" s="46"/>
      <c r="B14" s="7" t="s">
        <v>54</v>
      </c>
      <c r="C14" s="27">
        <v>6.0000000000000001E-3</v>
      </c>
      <c r="D14" s="27">
        <v>8.5000000000000006E-2</v>
      </c>
      <c r="E14" s="27">
        <v>0.41799999999999998</v>
      </c>
      <c r="F14" s="27">
        <v>8.9999999999999993E-3</v>
      </c>
      <c r="G14" s="27">
        <v>0.01</v>
      </c>
      <c r="H14" s="8">
        <v>2.62</v>
      </c>
      <c r="I14" s="27">
        <v>-0.33164556962025316</v>
      </c>
      <c r="J14" s="27">
        <v>0.13713713713713716</v>
      </c>
      <c r="K14" s="27">
        <v>4.5333333333333337E-2</v>
      </c>
      <c r="L14" s="14">
        <v>1.0316505091345101</v>
      </c>
      <c r="M14" s="14">
        <v>1.0828126138730101</v>
      </c>
      <c r="N14" s="14">
        <v>1.2628671136974801</v>
      </c>
      <c r="O14" s="14">
        <v>1.25605193136889</v>
      </c>
      <c r="P14" s="14">
        <v>0.91383044400904401</v>
      </c>
      <c r="Q14" s="14">
        <v>0.8756032246089831</v>
      </c>
      <c r="S14" s="46"/>
      <c r="T14" s="7" t="s">
        <v>54</v>
      </c>
      <c r="U14" s="7">
        <v>-0.21018000000000001</v>
      </c>
      <c r="V14" s="7">
        <v>-7.2370000000000004E-2</v>
      </c>
      <c r="W14" s="7">
        <f>-Tabela121621677388[[#This Row],[X]]</f>
        <v>0.21018000000000001</v>
      </c>
      <c r="X14" s="7">
        <f>-Tabela12162167737489[[#This Row],[X]]</f>
        <v>7.2370000000000004E-2</v>
      </c>
      <c r="Y14" s="7">
        <f t="shared" si="0"/>
        <v>3.8442905350000003</v>
      </c>
      <c r="Z14" s="7">
        <f>(Tabela12162167738894[[#This Row],[X]]-Tabela1216216773748995[[#This Row],[X]])/2</f>
        <v>6.8904999999999994E-2</v>
      </c>
      <c r="AA14" s="7">
        <f>(Tabela12162167737590[[#This Row],[X]]^2)/(2*Z14)</f>
        <v>107.23873243952247</v>
      </c>
    </row>
    <row r="15" spans="1:27" x14ac:dyDescent="0.25">
      <c r="A15" s="46"/>
      <c r="B15" s="7" t="s">
        <v>55</v>
      </c>
      <c r="C15" s="27">
        <v>0.995</v>
      </c>
      <c r="D15" s="27">
        <v>0.871</v>
      </c>
      <c r="E15" s="27">
        <v>0.85099999999999998</v>
      </c>
      <c r="F15" s="27">
        <v>3.6200000000000003E-2</v>
      </c>
      <c r="G15" s="27">
        <v>5.3100000000000001E-2</v>
      </c>
      <c r="H15" s="8">
        <v>-8.1199999999999992</v>
      </c>
      <c r="I15" s="27">
        <v>1.0278481012658227</v>
      </c>
      <c r="J15" s="27">
        <v>0.82482482482482478</v>
      </c>
      <c r="K15" s="27">
        <v>0.75466666666666671</v>
      </c>
      <c r="L15" s="14">
        <v>1.00984403294164</v>
      </c>
      <c r="M15" s="14">
        <v>1.0808896484089099</v>
      </c>
      <c r="N15" s="14">
        <v>2.5194761790812201</v>
      </c>
      <c r="O15" s="14">
        <v>1.7472309620915498</v>
      </c>
      <c r="P15" s="14">
        <v>0.96674547544322498</v>
      </c>
      <c r="Q15" s="14">
        <v>0.947533602910962</v>
      </c>
      <c r="S15" s="46"/>
      <c r="T15" s="7" t="s">
        <v>55</v>
      </c>
      <c r="U15" s="7">
        <v>-0.18214</v>
      </c>
      <c r="V15" s="7">
        <v>-7.79E-3</v>
      </c>
      <c r="W15" s="7">
        <f>-Tabela121621677388[[#This Row],[X]]</f>
        <v>0.18214</v>
      </c>
      <c r="X15" s="7">
        <f>-Tabela12162167737489[[#This Row],[X]]</f>
        <v>7.79E-3</v>
      </c>
      <c r="Y15" s="7">
        <f t="shared" si="0"/>
        <v>2.584130601</v>
      </c>
      <c r="Z15" s="7">
        <f>(Tabela12162167738894[[#This Row],[X]]-Tabela1216216773748995[[#This Row],[X]])/2</f>
        <v>8.7175000000000002E-2</v>
      </c>
      <c r="AA15" s="7">
        <f>(Tabela12162167737590[[#This Row],[X]]^2)/(2*Z15)</f>
        <v>38.300722472180219</v>
      </c>
    </row>
    <row r="16" spans="1:27" x14ac:dyDescent="0.25">
      <c r="A16" s="46"/>
      <c r="B16" s="7" t="s">
        <v>56</v>
      </c>
      <c r="C16" s="27">
        <v>-0.309</v>
      </c>
      <c r="D16" s="27">
        <v>-0.2</v>
      </c>
      <c r="E16" s="27">
        <v>0.35899999999999999</v>
      </c>
      <c r="F16" s="27">
        <v>6.6E-3</v>
      </c>
      <c r="G16" s="27">
        <v>6.8999999999999999E-3</v>
      </c>
      <c r="H16" s="8">
        <v>4.17</v>
      </c>
      <c r="I16" s="27">
        <v>-0.52784810126582271</v>
      </c>
      <c r="J16" s="27">
        <v>8.9089089089089094E-2</v>
      </c>
      <c r="K16" s="27">
        <v>2.4333333333333332E-2</v>
      </c>
      <c r="L16" s="14">
        <v>0.94000269304711903</v>
      </c>
      <c r="M16" s="14">
        <v>0.92262230284152391</v>
      </c>
      <c r="N16" s="14">
        <v>2.7471339556375698</v>
      </c>
      <c r="O16" s="14">
        <v>0.20312367748158</v>
      </c>
      <c r="P16" s="14">
        <v>0.90480217408997698</v>
      </c>
      <c r="Q16" s="14">
        <v>0.83623059805340305</v>
      </c>
      <c r="S16" s="46"/>
      <c r="T16" s="7" t="s">
        <v>56</v>
      </c>
      <c r="U16" s="7">
        <v>-0.26695999999999998</v>
      </c>
      <c r="V16" s="7">
        <v>-0.10693</v>
      </c>
      <c r="W16" s="7">
        <f>-Tabela121621677388[[#This Row],[X]]</f>
        <v>0.26695999999999998</v>
      </c>
      <c r="X16" s="7">
        <f>-Tabela12162167737489[[#This Row],[X]]</f>
        <v>0.10693</v>
      </c>
      <c r="Y16" s="7">
        <f t="shared" si="0"/>
        <v>5.0870351729999994</v>
      </c>
      <c r="Z16" s="7">
        <f>(Tabela12162167738894[[#This Row],[X]]-Tabela1216216773748995[[#This Row],[X]])/2</f>
        <v>8.0014999999999989E-2</v>
      </c>
      <c r="AA16" s="7">
        <f>(Tabela12162167737590[[#This Row],[X]]^2)/(2*Z16)</f>
        <v>161.70672281034265</v>
      </c>
    </row>
    <row r="17" spans="1:27" x14ac:dyDescent="0.25">
      <c r="A17" s="46"/>
      <c r="B17" s="7" t="s">
        <v>57</v>
      </c>
      <c r="C17" s="27">
        <v>0.997</v>
      </c>
      <c r="D17" s="27">
        <v>0.91</v>
      </c>
      <c r="E17" s="27">
        <v>0.98099999999999998</v>
      </c>
      <c r="F17" s="27">
        <v>3.7699999999999997E-2</v>
      </c>
      <c r="G17" s="27">
        <v>5.6000000000000001E-2</v>
      </c>
      <c r="H17" s="8">
        <v>-9.83</v>
      </c>
      <c r="I17" s="27">
        <v>1.2443037974683544</v>
      </c>
      <c r="J17" s="27">
        <v>0.91191191191191179</v>
      </c>
      <c r="K17" s="27">
        <v>0.83133333333333337</v>
      </c>
      <c r="L17" s="14">
        <v>0.97706721764549298</v>
      </c>
      <c r="M17" s="14">
        <v>1.0254662373516599</v>
      </c>
      <c r="N17" s="14">
        <v>2.5256262489363199</v>
      </c>
      <c r="O17" s="14">
        <v>1.0880822085286901</v>
      </c>
      <c r="P17" s="14">
        <v>0.96186211044742298</v>
      </c>
      <c r="Q17" s="14">
        <v>0.94043088748210901</v>
      </c>
      <c r="S17" s="46"/>
      <c r="T17" s="7" t="s">
        <v>57</v>
      </c>
      <c r="U17" s="7">
        <v>-0.21260999999999999</v>
      </c>
      <c r="V17" s="7">
        <v>-2.0740000000000001E-2</v>
      </c>
      <c r="W17" s="7">
        <f>-Tabela121621677388[[#This Row],[X]]</f>
        <v>0.21260999999999999</v>
      </c>
      <c r="X17" s="7">
        <f>-Tabela12162167737489[[#This Row],[X]]</f>
        <v>2.0740000000000001E-2</v>
      </c>
      <c r="Y17" s="7">
        <f t="shared" si="0"/>
        <v>3.1748900950000003</v>
      </c>
      <c r="Z17" s="7">
        <f>(Tabela12162167738894[[#This Row],[X]]-Tabela1216216773748995[[#This Row],[X]])/2</f>
        <v>9.5934999999999993E-2</v>
      </c>
      <c r="AA17" s="7">
        <f>(Tabela12162167737590[[#This Row],[X]]^2)/(2*Z17)</f>
        <v>52.535191094642791</v>
      </c>
    </row>
    <row r="18" spans="1:27" x14ac:dyDescent="0.25">
      <c r="A18" s="46"/>
      <c r="B18" s="7" t="s">
        <v>58</v>
      </c>
      <c r="C18" s="27">
        <v>-0.80800000000000005</v>
      </c>
      <c r="D18" s="27">
        <v>-0.68400000000000005</v>
      </c>
      <c r="E18" s="27">
        <v>0.314</v>
      </c>
      <c r="F18" s="27">
        <v>4.8999999999999998E-3</v>
      </c>
      <c r="G18" s="27">
        <v>4.7000000000000002E-3</v>
      </c>
      <c r="H18" s="8">
        <v>8.86</v>
      </c>
      <c r="I18" s="27">
        <v>-1.1215189873417721</v>
      </c>
      <c r="J18" s="27">
        <v>-0.13713713713713716</v>
      </c>
      <c r="K18" s="27">
        <v>-0.10666666666666667</v>
      </c>
      <c r="L18" s="14">
        <v>0.87482509829847099</v>
      </c>
      <c r="M18" s="14">
        <v>0.78717977116079696</v>
      </c>
      <c r="N18" s="14">
        <v>2.8548665020517596</v>
      </c>
      <c r="O18" s="14">
        <v>-0.58971007087218297</v>
      </c>
      <c r="P18" s="14">
        <v>0.89852923368886595</v>
      </c>
      <c r="Q18" s="14">
        <v>0.79798948289928906</v>
      </c>
      <c r="S18" s="46"/>
      <c r="T18" s="7" t="s">
        <v>58</v>
      </c>
      <c r="U18" s="7">
        <v>-0.28310000000000002</v>
      </c>
      <c r="V18" s="7">
        <v>-0.14108000000000001</v>
      </c>
      <c r="W18" s="7">
        <f>-Tabela121621677388[[#This Row],[X]]</f>
        <v>0.28310000000000002</v>
      </c>
      <c r="X18" s="7">
        <f>-Tabela12162167737489[[#This Row],[X]]</f>
        <v>0.14108000000000001</v>
      </c>
      <c r="Y18" s="7">
        <f t="shared" si="0"/>
        <v>5.7712658260000005</v>
      </c>
      <c r="Z18" s="7">
        <f>(Tabela12162167738894[[#This Row],[X]]-Tabela1216216773748995[[#This Row],[X]])/2</f>
        <v>7.1010000000000004E-2</v>
      </c>
      <c r="AA18" s="7">
        <f>(Tabela12162167737590[[#This Row],[X]]^2)/(2*Z18)</f>
        <v>234.52689222894989</v>
      </c>
    </row>
    <row r="22" spans="1:27" ht="20.25" x14ac:dyDescent="0.3">
      <c r="K22" s="33"/>
      <c r="L22" s="34" t="s">
        <v>100</v>
      </c>
      <c r="M22" s="34" t="s">
        <v>101</v>
      </c>
      <c r="N22" s="35" t="s">
        <v>98</v>
      </c>
      <c r="O22" s="35" t="s">
        <v>102</v>
      </c>
      <c r="P22" s="35" t="s">
        <v>99</v>
      </c>
    </row>
    <row r="23" spans="1:27" ht="21" x14ac:dyDescent="0.35">
      <c r="K23" s="36" t="s">
        <v>108</v>
      </c>
      <c r="L23" s="38">
        <f>RSQ(W3:W18,$L$3:$L$18)</f>
        <v>0.95695106319493528</v>
      </c>
      <c r="M23" s="38">
        <f>RSQ(X3:X18,$L$3:$L$18)</f>
        <v>0.91951446086887734</v>
      </c>
      <c r="N23" s="38">
        <f>RSQ(Y3:Y18,$L$3:$L$18)</f>
        <v>0.95138152113627605</v>
      </c>
      <c r="O23" s="38">
        <f>RSQ(Z3:Z18,$L$3:$L$18)</f>
        <v>6.5398795696604381E-2</v>
      </c>
      <c r="P23" s="38">
        <f>RSQ(AA3:AA18,$L$3:$L$18)</f>
        <v>0.56747669415838187</v>
      </c>
      <c r="Q23" s="32"/>
      <c r="R23" s="32"/>
    </row>
    <row r="24" spans="1:27" ht="21" x14ac:dyDescent="0.35">
      <c r="K24" s="36" t="s">
        <v>109</v>
      </c>
      <c r="L24" s="38">
        <f>RSQ(W3:W18,$M$3:$M$18)</f>
        <v>0.94706338629322517</v>
      </c>
      <c r="M24" s="38">
        <f>RSQ(X3:X18,$M$3:$M$18)</f>
        <v>0.93558642596607644</v>
      </c>
      <c r="N24" s="38">
        <f>RSQ(Y3:Y18,$M$3:$M$18)</f>
        <v>0.95518721881388502</v>
      </c>
      <c r="O24" s="38">
        <f>RSQ(Z3:Z18,$M$3:$M$18)</f>
        <v>9.4941497288864321E-2</v>
      </c>
      <c r="P24" s="38">
        <f>RSQ(AA3:AA18,$M$3:$M$18)</f>
        <v>0.67758895911453032</v>
      </c>
      <c r="R24" s="32"/>
    </row>
    <row r="25" spans="1:27" ht="21" x14ac:dyDescent="0.35">
      <c r="K25" s="36" t="s">
        <v>3</v>
      </c>
      <c r="L25" s="38">
        <f>RSQ(W3:W18,$N$3:$N$18)</f>
        <v>8.1342830465765455E-3</v>
      </c>
      <c r="M25" s="38">
        <f>RSQ(X3:X18,$N$3:$N$18)</f>
        <v>4.8005083969878272E-2</v>
      </c>
      <c r="N25" s="38">
        <f>RSQ(Y3:Y18,$N$3:$N$18)</f>
        <v>2.5175351086534743E-2</v>
      </c>
      <c r="O25" s="38">
        <f>RSQ(Z3:Z18,$N$3:$N$18)</f>
        <v>0.30361346255938737</v>
      </c>
      <c r="P25" s="38">
        <f>RSQ(AA3:AA18,$N$3:$N$18)</f>
        <v>4.4229323292609111E-2</v>
      </c>
      <c r="R25" s="32"/>
    </row>
    <row r="26" spans="1:27" ht="21" x14ac:dyDescent="0.35">
      <c r="K26" s="36" t="s">
        <v>110</v>
      </c>
      <c r="L26" s="38">
        <f>RSQ(W3:W18,$O$3:$O$18)</f>
        <v>0.57384032621601688</v>
      </c>
      <c r="M26" s="38">
        <f>RSQ(X3:X18,$O$3:$O$18)</f>
        <v>0.48236467732361377</v>
      </c>
      <c r="N26" s="38">
        <f>RSQ(Y3:Y18,$O$3:$O$18)</f>
        <v>0.53297483735957052</v>
      </c>
      <c r="O26" s="38">
        <f>RSQ(Z3:Z18,$O$3:$O$18)</f>
        <v>1.7535883131344852E-5</v>
      </c>
      <c r="P26" s="38">
        <f>RSQ(AA3:AA18,$O$3:$O$18)</f>
        <v>0.25626034496470373</v>
      </c>
      <c r="R26" s="32"/>
    </row>
    <row r="27" spans="1:27" ht="21" x14ac:dyDescent="0.35">
      <c r="K27" s="36" t="s">
        <v>7</v>
      </c>
      <c r="L27" s="38">
        <f>RSQ(W3:W18,$P$3:$P$18)</f>
        <v>0.75427024269453102</v>
      </c>
      <c r="M27" s="38">
        <f>RSQ(X3:X18,$P$3:$P$18)</f>
        <v>0.88459891741568408</v>
      </c>
      <c r="N27" s="38">
        <f>RSQ(Y3:Y18,$P$3:$P$18)</f>
        <v>0.83333784382659037</v>
      </c>
      <c r="O27" s="38">
        <f>RSQ(Z3:Z18,$P$3:$P$18)</f>
        <v>0.34460394376736181</v>
      </c>
      <c r="P27" s="38">
        <f>RSQ(AA3:AA18,$P$3:$P$18)</f>
        <v>0.75205968724691663</v>
      </c>
      <c r="R27" s="32"/>
    </row>
    <row r="28" spans="1:27" ht="21" x14ac:dyDescent="0.35">
      <c r="K28" s="36" t="s">
        <v>8</v>
      </c>
      <c r="L28" s="38">
        <f>RSQ(W3:W18,$Q$3:$Q$18)</f>
        <v>0.56905155944760089</v>
      </c>
      <c r="M28" s="38">
        <f>RSQ(X3:X18,$Q$3:$Q$18)</f>
        <v>0.7124548760111864</v>
      </c>
      <c r="N28" s="38">
        <f>RSQ(Y3:Y18,$Q$3:$Q$18)</f>
        <v>0.65154356369194311</v>
      </c>
      <c r="O28" s="38">
        <f>RSQ(Z3:Z18,$Q$3:$Q$18)</f>
        <v>0.38366948068713447</v>
      </c>
      <c r="P28" s="38">
        <f>RSQ(AA3:AA18,$Q$3:$Q$18)</f>
        <v>0.53293828626102413</v>
      </c>
      <c r="R28" s="32"/>
    </row>
    <row r="29" spans="1:27" ht="21" x14ac:dyDescent="0.35">
      <c r="K29" s="37" t="s">
        <v>40</v>
      </c>
      <c r="L29" s="38">
        <f>RSQ(W3:W18,$C$3:$C$18)</f>
        <v>7.9135560427718049E-2</v>
      </c>
      <c r="M29" s="38">
        <f>RSQ(X3:X18,$C$3:$C$18)</f>
        <v>0.17108029437986338</v>
      </c>
      <c r="N29" s="38">
        <f>RSQ(Y3:Y18,$C$3:$C$18)</f>
        <v>0.12461154794173875</v>
      </c>
      <c r="O29" s="38">
        <f>RSQ(Z3:Z18,$C$3:$C$18)</f>
        <v>0.39680398522108068</v>
      </c>
      <c r="P29" s="38">
        <f>RSQ(AA3:AA18,$C$3:$C$18)</f>
        <v>0.12059314152171349</v>
      </c>
      <c r="R29" s="32"/>
    </row>
    <row r="30" spans="1:27" ht="21" x14ac:dyDescent="0.35">
      <c r="K30" s="37" t="s">
        <v>49</v>
      </c>
      <c r="L30" s="38">
        <f>RSQ(W3:W18,$D$3:$D$18)</f>
        <v>5.0041938479585928E-2</v>
      </c>
      <c r="M30" s="38">
        <f>RSQ(X3:X18,$D$3:$D$18)</f>
        <v>0.13365151119171553</v>
      </c>
      <c r="N30" s="38">
        <f>RSQ(Y3:Y18,$D$3:$D$18)</f>
        <v>8.9999541461987617E-2</v>
      </c>
      <c r="O30" s="38">
        <f>RSQ(Z3:Z18,$D$3:$D$18)</f>
        <v>0.42108762524748039</v>
      </c>
      <c r="P30" s="38">
        <f>RSQ(AA3:AA18,$D$3:$D$18)</f>
        <v>0.1119442842390883</v>
      </c>
      <c r="R30" s="32"/>
    </row>
    <row r="31" spans="1:27" ht="21" x14ac:dyDescent="0.35">
      <c r="K31" s="37" t="s">
        <v>71</v>
      </c>
      <c r="L31" s="38">
        <f>RSQ(W3:W18,$E$3:$E$18)</f>
        <v>0.11131124582358749</v>
      </c>
      <c r="M31" s="38">
        <f>RSQ(X3:X18,$E$3:$E$18)</f>
        <v>0.27221572145212242</v>
      </c>
      <c r="N31" s="38">
        <f>RSQ(Y3:Y18,$E$3:$E$18)</f>
        <v>0.18928382194996865</v>
      </c>
      <c r="O31" s="38">
        <f>RSQ(Z3:Z18,$E$3:$E$18)</f>
        <v>0.76207909782217664</v>
      </c>
      <c r="P31" s="38">
        <f>RSQ(AA3:AA18,$E$3:$E$18)</f>
        <v>0.34101478564192744</v>
      </c>
      <c r="R31" s="32"/>
    </row>
    <row r="32" spans="1:27" ht="21" x14ac:dyDescent="0.35">
      <c r="K32" s="37" t="s">
        <v>72</v>
      </c>
      <c r="L32" s="38">
        <f>RSQ(W3:W18,$F$3:$F$18)</f>
        <v>6.8449630200996647E-2</v>
      </c>
      <c r="M32" s="38">
        <f>RSQ(X3:X18,$F$3:$F$18)</f>
        <v>0.21114012405690488</v>
      </c>
      <c r="N32" s="38">
        <f>RSQ(Y3:Y18,$F$3:$F$18)</f>
        <v>0.13517307499588668</v>
      </c>
      <c r="O32" s="38">
        <f>RSQ(Z3:Z18,$F$3:$F$18)</f>
        <v>0.78819174445844342</v>
      </c>
      <c r="P32" s="38">
        <f>RSQ(AA3:AA18,$F$3:$F$18)</f>
        <v>0.27197323078078178</v>
      </c>
      <c r="R32" s="32"/>
    </row>
    <row r="33" spans="11:18" ht="21" x14ac:dyDescent="0.35">
      <c r="K33" s="37" t="s">
        <v>73</v>
      </c>
      <c r="L33" s="38">
        <f>RSQ(W3:W18,$G$3:$G$18)</f>
        <v>9.5683410770782656E-2</v>
      </c>
      <c r="M33" s="38">
        <f>RSQ(X3:X18,$G$3:$G$18)</f>
        <v>0.2594460614497634</v>
      </c>
      <c r="N33" s="38">
        <f>RSQ(Y3:Y18,$G$3:$G$18)</f>
        <v>0.17376409515821623</v>
      </c>
      <c r="O33" s="38">
        <f>RSQ(Z3:Z18,$G$3:$G$18)</f>
        <v>0.83318790685082023</v>
      </c>
      <c r="P33" s="38">
        <f>RSQ(AA3:AA18,$G$3:$G$18)</f>
        <v>0.35064764998479198</v>
      </c>
      <c r="R33" s="32"/>
    </row>
    <row r="34" spans="11:18" ht="21" x14ac:dyDescent="0.35">
      <c r="K34" s="37" t="s">
        <v>52</v>
      </c>
      <c r="L34" s="38">
        <f>RSQ(W3:W18,$H$3:$H$18)</f>
        <v>0.13402013795911144</v>
      </c>
      <c r="M34" s="38">
        <f>RSQ(X3:X18,$H$3:$H$18)</f>
        <v>0.29628733852111355</v>
      </c>
      <c r="N34" s="38">
        <f>RSQ(Y3:Y18,$H$3:$H$18)</f>
        <v>0.21397179831274454</v>
      </c>
      <c r="O34" s="38">
        <f>RSQ(Z3:Z18,$H$3:$H$18)</f>
        <v>0.7126622113558273</v>
      </c>
      <c r="P34" s="38">
        <f>RSQ(AA3:AA18,$H$3:$H$18)</f>
        <v>0.45141448919529548</v>
      </c>
      <c r="R34" s="32"/>
    </row>
    <row r="35" spans="11:18" ht="21" x14ac:dyDescent="0.35">
      <c r="K35" s="37" t="s">
        <v>83</v>
      </c>
      <c r="L35" s="38">
        <f>RSQ(W3:W18,$I$3:$I$18)</f>
        <v>0.13402013795911139</v>
      </c>
      <c r="M35" s="38">
        <f>RSQ(X3:X18,$I$3:$I$18)</f>
        <v>0.29628733852111339</v>
      </c>
      <c r="N35" s="38">
        <f>RSQ(Y3:Y18,$I$3:$I$18)</f>
        <v>0.21397179831274465</v>
      </c>
      <c r="O35" s="38">
        <f>RSQ(Z3:Z18,$I$3:$I$18)</f>
        <v>0.71266221135582708</v>
      </c>
      <c r="P35" s="38">
        <f>RSQ(AA3:AA18,$I$3:$I$18)</f>
        <v>0.45141448919529564</v>
      </c>
      <c r="R35" s="32"/>
    </row>
    <row r="36" spans="11:18" ht="21" x14ac:dyDescent="0.35">
      <c r="K36" s="37" t="s">
        <v>82</v>
      </c>
      <c r="L36" s="38">
        <f>RSQ(W3:W18,$J$3:$J$18)</f>
        <v>3.5370505236211144E-2</v>
      </c>
      <c r="M36" s="38">
        <f>RSQ(X3:X18,$J$3:$J$18)</f>
        <v>0.15344477366582771</v>
      </c>
      <c r="N36" s="38">
        <f>RSQ(Y3:Y18,$J$3:$J$18)</f>
        <v>8.7965667226797356E-2</v>
      </c>
      <c r="O36" s="38">
        <f>RSQ(Z3:Z18,$J$3:$J$18)</f>
        <v>0.78504665754480152</v>
      </c>
      <c r="P36" s="38">
        <f>RSQ(AA3:AA18,$J$3:$J$18)</f>
        <v>0.30981972194298901</v>
      </c>
      <c r="R36" s="32"/>
    </row>
    <row r="37" spans="11:18" ht="21" x14ac:dyDescent="0.35">
      <c r="K37" s="37" t="s">
        <v>81</v>
      </c>
      <c r="L37" s="38">
        <f>RSQ(W3:W18,$K$3:$K$18)</f>
        <v>4.9792229733839635E-2</v>
      </c>
      <c r="M37" s="38">
        <f>RSQ(X3:X18,$K$3:$K$18)</f>
        <v>0.18219578279506235</v>
      </c>
      <c r="N37" s="38">
        <f>RSQ(Y3:Y18,$K$3:$K$18)</f>
        <v>0.11019154166502437</v>
      </c>
      <c r="O37" s="38">
        <f>RSQ(Z3:Z18,$K$3:$K$18)</f>
        <v>0.80677181881824944</v>
      </c>
      <c r="P37" s="38">
        <f>RSQ(AA3:AA18,$K$3:$K$18)</f>
        <v>0.30955639570064275</v>
      </c>
      <c r="R37" s="32"/>
    </row>
    <row r="38" spans="11:18" ht="21" x14ac:dyDescent="0.35">
      <c r="R38" s="32"/>
    </row>
    <row r="39" spans="11:18" ht="21" x14ac:dyDescent="0.35">
      <c r="R39" s="32"/>
    </row>
    <row r="40" spans="11:18" ht="21" x14ac:dyDescent="0.35">
      <c r="L40" s="32"/>
      <c r="M40" s="32"/>
      <c r="N40" s="32"/>
      <c r="O40" s="32"/>
      <c r="P40" s="32"/>
      <c r="Q40" s="32"/>
      <c r="R40" s="32"/>
    </row>
  </sheetData>
  <mergeCells count="6">
    <mergeCell ref="A13:A18"/>
    <mergeCell ref="S3:S12"/>
    <mergeCell ref="S13:S18"/>
    <mergeCell ref="L1:Q1"/>
    <mergeCell ref="A3:A12"/>
    <mergeCell ref="C1:K1"/>
  </mergeCells>
  <phoneticPr fontId="3" type="noConversion"/>
  <conditionalFormatting sqref="L23:P37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9841C-6C2A-493F-B80C-4CC4EC154D0F}">
  <dimension ref="A1:G18"/>
  <sheetViews>
    <sheetView zoomScale="40" zoomScaleNormal="40" workbookViewId="0">
      <selection activeCell="J9" sqref="J9"/>
    </sheetView>
  </sheetViews>
  <sheetFormatPr defaultRowHeight="15" x14ac:dyDescent="0.25"/>
  <cols>
    <col min="5" max="5" width="29.140625" bestFit="1" customWidth="1"/>
    <col min="6" max="6" width="28.7109375" bestFit="1" customWidth="1"/>
    <col min="7" max="7" width="10.28515625" bestFit="1" customWidth="1"/>
  </cols>
  <sheetData>
    <row r="1" spans="1:7" x14ac:dyDescent="0.25">
      <c r="A1" s="7"/>
      <c r="B1" s="7"/>
      <c r="C1" s="45"/>
      <c r="D1" s="45"/>
      <c r="E1" s="47" t="s">
        <v>80</v>
      </c>
      <c r="F1" s="47"/>
      <c r="G1" s="47"/>
    </row>
    <row r="2" spans="1:7" x14ac:dyDescent="0.25">
      <c r="A2" s="12"/>
      <c r="B2" s="11" t="s">
        <v>39</v>
      </c>
      <c r="C2" s="13" t="s">
        <v>40</v>
      </c>
      <c r="D2" s="13" t="s">
        <v>49</v>
      </c>
      <c r="E2" s="9" t="s">
        <v>1</v>
      </c>
      <c r="F2" s="9" t="s">
        <v>2</v>
      </c>
      <c r="G2" s="10" t="s">
        <v>8</v>
      </c>
    </row>
    <row r="3" spans="1:7" x14ac:dyDescent="0.25">
      <c r="A3" s="46" t="s">
        <v>66</v>
      </c>
      <c r="B3" s="7" t="s">
        <v>43</v>
      </c>
      <c r="C3" s="27">
        <v>0.998</v>
      </c>
      <c r="D3" s="27">
        <v>0.92500000000000004</v>
      </c>
      <c r="E3" s="14">
        <v>1</v>
      </c>
      <c r="F3" s="14">
        <v>1</v>
      </c>
      <c r="G3" s="14">
        <v>1</v>
      </c>
    </row>
    <row r="4" spans="1:7" x14ac:dyDescent="0.25">
      <c r="A4" s="46"/>
      <c r="B4" s="7" t="s">
        <v>44</v>
      </c>
      <c r="C4" s="27">
        <v>0.997</v>
      </c>
      <c r="D4" s="27">
        <v>0.90700000000000003</v>
      </c>
      <c r="E4" s="14">
        <v>1.0033147447031801</v>
      </c>
      <c r="F4" s="14">
        <v>0.9460714636171601</v>
      </c>
      <c r="G4" s="14">
        <v>0.96263233224350897</v>
      </c>
    </row>
    <row r="5" spans="1:7" ht="21" x14ac:dyDescent="0.25">
      <c r="A5" s="46"/>
      <c r="B5" s="7" t="s">
        <v>63</v>
      </c>
      <c r="C5" s="27">
        <v>0.70199999999999996</v>
      </c>
      <c r="D5" s="27">
        <v>0.58699999999999997</v>
      </c>
      <c r="E5" s="14">
        <v>1.2415627239045701</v>
      </c>
      <c r="F5" s="14">
        <v>1.3348602478680101</v>
      </c>
      <c r="G5" s="14">
        <v>1.01810616753118</v>
      </c>
    </row>
    <row r="6" spans="1:7" ht="18" x14ac:dyDescent="0.25">
      <c r="A6" s="46"/>
      <c r="B6" s="7" t="s">
        <v>64</v>
      </c>
      <c r="C6" s="27">
        <v>0.74299999999999999</v>
      </c>
      <c r="D6" s="27">
        <v>0.70899999999999996</v>
      </c>
      <c r="E6" s="14">
        <v>0.81893964196884195</v>
      </c>
      <c r="F6" s="14">
        <v>0.70289724501196704</v>
      </c>
      <c r="G6" s="14">
        <v>0.87368561054965599</v>
      </c>
    </row>
    <row r="7" spans="1:7" x14ac:dyDescent="0.25">
      <c r="A7" s="46"/>
      <c r="B7" s="7" t="s">
        <v>45</v>
      </c>
      <c r="C7" s="27">
        <v>0.99199999999999999</v>
      </c>
      <c r="D7" s="27">
        <v>0.89500000000000002</v>
      </c>
      <c r="E7" s="14">
        <v>1.03521902173937</v>
      </c>
      <c r="F7" s="14">
        <v>1.0128949438805099</v>
      </c>
      <c r="G7" s="14">
        <v>0.95540852524362196</v>
      </c>
    </row>
    <row r="8" spans="1:7" ht="21" x14ac:dyDescent="0.25">
      <c r="A8" s="46"/>
      <c r="B8" s="7" t="s">
        <v>84</v>
      </c>
      <c r="C8" s="27">
        <v>0.72399999999999998</v>
      </c>
      <c r="D8" s="27">
        <v>0.59299999999999997</v>
      </c>
      <c r="E8" s="14">
        <v>1.2223549481137999</v>
      </c>
      <c r="F8" s="14">
        <v>1.28279011902186</v>
      </c>
      <c r="G8" s="14">
        <v>0.99091614706471998</v>
      </c>
    </row>
    <row r="9" spans="1:7" ht="18" x14ac:dyDescent="0.25">
      <c r="A9" s="46"/>
      <c r="B9" s="7" t="s">
        <v>85</v>
      </c>
      <c r="C9" s="27">
        <v>0.44800000000000001</v>
      </c>
      <c r="D9" s="27">
        <v>0.437</v>
      </c>
      <c r="E9" s="14">
        <v>0.78221422514324201</v>
      </c>
      <c r="F9" s="14">
        <v>0.62660383410965403</v>
      </c>
      <c r="G9" s="14">
        <v>0.82168968399070097</v>
      </c>
    </row>
    <row r="10" spans="1:7" x14ac:dyDescent="0.25">
      <c r="A10" s="46"/>
      <c r="B10" s="7" t="s">
        <v>46</v>
      </c>
      <c r="C10" s="27">
        <v>0.997</v>
      </c>
      <c r="D10" s="27">
        <v>0.91700000000000004</v>
      </c>
      <c r="E10" s="14">
        <v>1.02195058573774</v>
      </c>
      <c r="F10" s="14">
        <v>0.98369869294585499</v>
      </c>
      <c r="G10" s="14">
        <v>0.95398123279159708</v>
      </c>
    </row>
    <row r="11" spans="1:7" x14ac:dyDescent="0.25">
      <c r="A11" s="46"/>
      <c r="B11" s="7" t="s">
        <v>47</v>
      </c>
      <c r="C11" s="27">
        <v>0.73599999999999999</v>
      </c>
      <c r="D11" s="27">
        <v>0.53700000000000003</v>
      </c>
      <c r="E11" s="14">
        <v>1.2015932661212401</v>
      </c>
      <c r="F11" s="14">
        <v>1.2338147537531099</v>
      </c>
      <c r="G11" s="14">
        <v>0.96793455496862502</v>
      </c>
    </row>
    <row r="12" spans="1:7" x14ac:dyDescent="0.25">
      <c r="A12" s="46"/>
      <c r="B12" s="7" t="s">
        <v>48</v>
      </c>
      <c r="C12" s="27">
        <v>-0.1</v>
      </c>
      <c r="D12" s="27">
        <v>-7.5999999999999998E-2</v>
      </c>
      <c r="E12" s="14">
        <v>0.75374966280618194</v>
      </c>
      <c r="F12" s="14">
        <v>0.55936173155264302</v>
      </c>
      <c r="G12" s="14">
        <v>0.76788333918940099</v>
      </c>
    </row>
    <row r="13" spans="1:7" x14ac:dyDescent="0.25">
      <c r="A13" s="46" t="s">
        <v>65</v>
      </c>
      <c r="B13" s="7" t="s">
        <v>53</v>
      </c>
      <c r="C13" s="27">
        <v>0.997</v>
      </c>
      <c r="D13" s="27">
        <v>0.89</v>
      </c>
      <c r="E13" s="14">
        <v>0.96183348772569399</v>
      </c>
      <c r="F13" s="14">
        <v>1.01844577794024</v>
      </c>
      <c r="G13" s="14">
        <v>0.93707010010898206</v>
      </c>
    </row>
    <row r="14" spans="1:7" x14ac:dyDescent="0.25">
      <c r="A14" s="46"/>
      <c r="B14" s="7" t="s">
        <v>54</v>
      </c>
      <c r="C14" s="27">
        <v>6.0000000000000001E-3</v>
      </c>
      <c r="D14" s="27">
        <v>8.5000000000000006E-2</v>
      </c>
      <c r="E14" s="14">
        <v>1.0316505091345101</v>
      </c>
      <c r="F14" s="14">
        <v>1.0828126138730101</v>
      </c>
      <c r="G14" s="14">
        <v>0.8756032246089831</v>
      </c>
    </row>
    <row r="15" spans="1:7" x14ac:dyDescent="0.25">
      <c r="A15" s="46"/>
      <c r="B15" s="7" t="s">
        <v>55</v>
      </c>
      <c r="C15" s="27">
        <v>0.995</v>
      </c>
      <c r="D15" s="27">
        <v>0.871</v>
      </c>
      <c r="E15" s="14">
        <v>1.00984403294164</v>
      </c>
      <c r="F15" s="14">
        <v>1.0808896484089099</v>
      </c>
      <c r="G15" s="14">
        <v>0.947533602910962</v>
      </c>
    </row>
    <row r="16" spans="1:7" x14ac:dyDescent="0.25">
      <c r="A16" s="46"/>
      <c r="B16" s="7" t="s">
        <v>56</v>
      </c>
      <c r="C16" s="27">
        <v>-0.309</v>
      </c>
      <c r="D16" s="27">
        <v>-0.2</v>
      </c>
      <c r="E16" s="14">
        <v>0.94000269304711903</v>
      </c>
      <c r="F16" s="14">
        <v>0.92262230284152391</v>
      </c>
      <c r="G16" s="14">
        <v>0.83623059805340305</v>
      </c>
    </row>
    <row r="17" spans="1:7" x14ac:dyDescent="0.25">
      <c r="A17" s="46"/>
      <c r="B17" s="7" t="s">
        <v>57</v>
      </c>
      <c r="C17" s="27">
        <v>0.997</v>
      </c>
      <c r="D17" s="27">
        <v>0.91</v>
      </c>
      <c r="E17" s="14">
        <v>0.97706721764549298</v>
      </c>
      <c r="F17" s="14">
        <v>1.0254662373516599</v>
      </c>
      <c r="G17" s="14">
        <v>0.94043088748210901</v>
      </c>
    </row>
    <row r="18" spans="1:7" x14ac:dyDescent="0.25">
      <c r="A18" s="46"/>
      <c r="B18" s="7" t="s">
        <v>58</v>
      </c>
      <c r="C18" s="27">
        <v>-0.80800000000000005</v>
      </c>
      <c r="D18" s="27">
        <v>-0.68400000000000005</v>
      </c>
      <c r="E18" s="14">
        <v>0.87482509829847099</v>
      </c>
      <c r="F18" s="14">
        <v>0.78717977116079696</v>
      </c>
      <c r="G18" s="14">
        <v>0.79798948289928906</v>
      </c>
    </row>
  </sheetData>
  <mergeCells count="4">
    <mergeCell ref="A3:A12"/>
    <mergeCell ref="A13:A18"/>
    <mergeCell ref="C1:D1"/>
    <mergeCell ref="E1:G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3"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22333-4ADF-4B65-B643-83E4B4CA42DA}">
  <dimension ref="A1:E18"/>
  <sheetViews>
    <sheetView zoomScale="25" zoomScaleNormal="25" workbookViewId="0">
      <selection activeCell="BB45" sqref="J1:BB45"/>
    </sheetView>
  </sheetViews>
  <sheetFormatPr defaultRowHeight="15" x14ac:dyDescent="0.25"/>
  <cols>
    <col min="4" max="4" width="28.7109375" bestFit="1" customWidth="1"/>
    <col min="5" max="5" width="10.28515625" bestFit="1" customWidth="1"/>
    <col min="13" max="13" width="5.7109375" bestFit="1" customWidth="1"/>
    <col min="14" max="14" width="8.42578125" bestFit="1" customWidth="1"/>
    <col min="15" max="15" width="29.140625" bestFit="1" customWidth="1"/>
    <col min="16" max="16" width="28.7109375" bestFit="1" customWidth="1"/>
    <col min="17" max="17" width="14" bestFit="1" customWidth="1"/>
    <col min="18" max="18" width="13.5703125" bestFit="1" customWidth="1"/>
    <col min="19" max="19" width="9.42578125" bestFit="1" customWidth="1"/>
    <col min="20" max="20" width="10.28515625" bestFit="1" customWidth="1"/>
    <col min="25" max="25" width="21.85546875" bestFit="1" customWidth="1"/>
    <col min="26" max="26" width="20.42578125" bestFit="1" customWidth="1"/>
  </cols>
  <sheetData>
    <row r="1" spans="1:5" x14ac:dyDescent="0.25">
      <c r="A1" s="7"/>
      <c r="B1" s="7"/>
      <c r="C1" s="30"/>
      <c r="D1" s="47"/>
      <c r="E1" s="47"/>
    </row>
    <row r="2" spans="1:5" x14ac:dyDescent="0.25">
      <c r="A2" s="12"/>
      <c r="B2" s="11" t="s">
        <v>39</v>
      </c>
      <c r="C2" s="13" t="s">
        <v>71</v>
      </c>
      <c r="D2" s="9" t="s">
        <v>2</v>
      </c>
      <c r="E2" s="10" t="s">
        <v>8</v>
      </c>
    </row>
    <row r="3" spans="1:5" x14ac:dyDescent="0.25">
      <c r="A3" s="46" t="s">
        <v>66</v>
      </c>
      <c r="B3" s="7" t="s">
        <v>43</v>
      </c>
      <c r="C3" s="27">
        <v>1</v>
      </c>
      <c r="D3" s="14">
        <v>1</v>
      </c>
      <c r="E3" s="14">
        <v>1</v>
      </c>
    </row>
    <row r="4" spans="1:5" x14ac:dyDescent="0.25">
      <c r="A4" s="46"/>
      <c r="B4" s="7" t="s">
        <v>44</v>
      </c>
      <c r="C4" s="27">
        <v>0.98199999999999998</v>
      </c>
      <c r="D4" s="14">
        <v>0.9460714636171601</v>
      </c>
      <c r="E4" s="14">
        <v>0.96263233224350897</v>
      </c>
    </row>
    <row r="5" spans="1:5" ht="21" x14ac:dyDescent="0.25">
      <c r="A5" s="46"/>
      <c r="B5" s="7" t="s">
        <v>63</v>
      </c>
      <c r="C5" s="27">
        <v>0.64600000000000002</v>
      </c>
      <c r="D5" s="14">
        <v>1.3348602478680101</v>
      </c>
      <c r="E5" s="14">
        <v>1.01810616753118</v>
      </c>
    </row>
    <row r="6" spans="1:5" ht="18" x14ac:dyDescent="0.25">
      <c r="A6" s="46"/>
      <c r="B6" s="7" t="s">
        <v>64</v>
      </c>
      <c r="C6" s="27">
        <v>0.625</v>
      </c>
      <c r="D6" s="14">
        <v>0.70289724501196704</v>
      </c>
      <c r="E6" s="14">
        <v>0.87368561054965599</v>
      </c>
    </row>
    <row r="7" spans="1:5" x14ac:dyDescent="0.25">
      <c r="A7" s="46"/>
      <c r="B7" s="7" t="s">
        <v>45</v>
      </c>
      <c r="C7" s="27">
        <v>0.86899999999999999</v>
      </c>
      <c r="D7" s="14">
        <v>1.0128949438805099</v>
      </c>
      <c r="E7" s="14">
        <v>0.95540852524362196</v>
      </c>
    </row>
    <row r="8" spans="1:5" ht="21" x14ac:dyDescent="0.25">
      <c r="A8" s="46"/>
      <c r="B8" s="7" t="s">
        <v>84</v>
      </c>
      <c r="C8" s="27">
        <v>0.67500000000000004</v>
      </c>
      <c r="D8" s="14">
        <v>1.28279011902186</v>
      </c>
      <c r="E8" s="14">
        <v>0.99091614706471998</v>
      </c>
    </row>
    <row r="9" spans="1:5" ht="18" x14ac:dyDescent="0.25">
      <c r="A9" s="46"/>
      <c r="B9" s="7" t="s">
        <v>85</v>
      </c>
      <c r="C9" s="27">
        <v>0.44800000000000001</v>
      </c>
      <c r="D9" s="14">
        <v>0.62660383410965403</v>
      </c>
      <c r="E9" s="14">
        <v>0.82168968399070097</v>
      </c>
    </row>
    <row r="10" spans="1:5" x14ac:dyDescent="0.25">
      <c r="A10" s="46"/>
      <c r="B10" s="7" t="s">
        <v>46</v>
      </c>
      <c r="C10" s="27">
        <v>0.95499999999999996</v>
      </c>
      <c r="D10" s="14">
        <v>0.98369869294585499</v>
      </c>
      <c r="E10" s="14">
        <v>0.95398123279159708</v>
      </c>
    </row>
    <row r="11" spans="1:5" x14ac:dyDescent="0.25">
      <c r="A11" s="46"/>
      <c r="B11" s="7" t="s">
        <v>47</v>
      </c>
      <c r="C11" s="27">
        <v>0.753</v>
      </c>
      <c r="D11" s="14">
        <v>1.2338147537531099</v>
      </c>
      <c r="E11" s="14">
        <v>0.96793455496862502</v>
      </c>
    </row>
    <row r="12" spans="1:5" x14ac:dyDescent="0.25">
      <c r="A12" s="46"/>
      <c r="B12" s="7" t="s">
        <v>48</v>
      </c>
      <c r="C12" s="27">
        <v>0.27800000000000002</v>
      </c>
      <c r="D12" s="14">
        <v>0.55936173155264302</v>
      </c>
      <c r="E12" s="14">
        <v>0.76788333918940099</v>
      </c>
    </row>
    <row r="13" spans="1:5" x14ac:dyDescent="0.25">
      <c r="A13" s="46" t="s">
        <v>65</v>
      </c>
      <c r="B13" s="7" t="s">
        <v>53</v>
      </c>
      <c r="C13" s="27">
        <v>0.97599999999999998</v>
      </c>
      <c r="D13" s="14">
        <v>1.01844577794024</v>
      </c>
      <c r="E13" s="14">
        <v>0.93707010010898206</v>
      </c>
    </row>
    <row r="14" spans="1:5" x14ac:dyDescent="0.25">
      <c r="A14" s="46"/>
      <c r="B14" s="7" t="s">
        <v>54</v>
      </c>
      <c r="C14" s="27">
        <v>0.41799999999999998</v>
      </c>
      <c r="D14" s="14">
        <v>1.0828126138730101</v>
      </c>
      <c r="E14" s="14">
        <v>0.8756032246089831</v>
      </c>
    </row>
    <row r="15" spans="1:5" x14ac:dyDescent="0.25">
      <c r="A15" s="46"/>
      <c r="B15" s="7" t="s">
        <v>55</v>
      </c>
      <c r="C15" s="27">
        <v>0.85099999999999998</v>
      </c>
      <c r="D15" s="14">
        <v>1.0808896484089099</v>
      </c>
      <c r="E15" s="14">
        <v>0.947533602910962</v>
      </c>
    </row>
    <row r="16" spans="1:5" x14ac:dyDescent="0.25">
      <c r="A16" s="46"/>
      <c r="B16" s="7" t="s">
        <v>56</v>
      </c>
      <c r="C16" s="27">
        <v>0.35899999999999999</v>
      </c>
      <c r="D16" s="14">
        <v>0.92262230284152391</v>
      </c>
      <c r="E16" s="14">
        <v>0.83623059805340305</v>
      </c>
    </row>
    <row r="17" spans="1:5" x14ac:dyDescent="0.25">
      <c r="A17" s="46"/>
      <c r="B17" s="7" t="s">
        <v>57</v>
      </c>
      <c r="C17" s="27">
        <v>0.98099999999999998</v>
      </c>
      <c r="D17" s="14">
        <v>1.0254662373516599</v>
      </c>
      <c r="E17" s="14">
        <v>0.94043088748210901</v>
      </c>
    </row>
    <row r="18" spans="1:5" x14ac:dyDescent="0.25">
      <c r="A18" s="46"/>
      <c r="B18" s="7" t="s">
        <v>58</v>
      </c>
      <c r="C18" s="27">
        <v>0.314</v>
      </c>
      <c r="D18" s="14">
        <v>0.78717977116079696</v>
      </c>
      <c r="E18" s="14">
        <v>0.79798948289928906</v>
      </c>
    </row>
  </sheetData>
  <mergeCells count="3">
    <mergeCell ref="A3:A12"/>
    <mergeCell ref="A13:A18"/>
    <mergeCell ref="D1:E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3"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D953-F5A5-48CA-A9B4-FB2BA6A12374}">
  <dimension ref="A1:Q18"/>
  <sheetViews>
    <sheetView zoomScale="55" zoomScaleNormal="55" workbookViewId="0">
      <selection activeCell="L1" sqref="L1:Q1"/>
    </sheetView>
  </sheetViews>
  <sheetFormatPr defaultRowHeight="15" x14ac:dyDescent="0.25"/>
  <cols>
    <col min="12" max="12" width="29.140625" bestFit="1" customWidth="1"/>
    <col min="13" max="13" width="28.7109375" bestFit="1" customWidth="1"/>
    <col min="14" max="14" width="14" bestFit="1" customWidth="1"/>
    <col min="15" max="15" width="13.5703125" bestFit="1" customWidth="1"/>
    <col min="16" max="16" width="9.42578125" bestFit="1" customWidth="1"/>
    <col min="17" max="17" width="10.28515625" bestFit="1" customWidth="1"/>
  </cols>
  <sheetData>
    <row r="1" spans="1:17" x14ac:dyDescent="0.25">
      <c r="A1" s="7"/>
      <c r="B1" s="7"/>
      <c r="C1" s="7"/>
      <c r="D1" s="45"/>
      <c r="E1" s="45"/>
      <c r="F1" s="45"/>
      <c r="G1" s="45"/>
      <c r="H1" s="29"/>
      <c r="J1" s="7"/>
      <c r="K1" s="7"/>
      <c r="L1" s="47" t="s">
        <v>80</v>
      </c>
      <c r="M1" s="47"/>
      <c r="N1" s="47"/>
      <c r="O1" s="47"/>
      <c r="P1" s="47"/>
      <c r="Q1" s="47"/>
    </row>
    <row r="2" spans="1:17" x14ac:dyDescent="0.25">
      <c r="A2" s="12"/>
      <c r="B2" s="11" t="s">
        <v>39</v>
      </c>
      <c r="C2" s="13" t="s">
        <v>71</v>
      </c>
      <c r="D2" s="13" t="s">
        <v>90</v>
      </c>
      <c r="E2" s="13" t="s">
        <v>72</v>
      </c>
      <c r="F2" s="13" t="s">
        <v>73</v>
      </c>
      <c r="G2" s="13" t="s">
        <v>91</v>
      </c>
      <c r="H2" s="10" t="s">
        <v>8</v>
      </c>
      <c r="J2" s="12"/>
      <c r="K2" s="11" t="s">
        <v>39</v>
      </c>
      <c r="L2" s="9" t="s">
        <v>1</v>
      </c>
      <c r="M2" s="9" t="s">
        <v>2</v>
      </c>
      <c r="N2" s="9" t="s">
        <v>3</v>
      </c>
      <c r="O2" s="9" t="s">
        <v>4</v>
      </c>
      <c r="P2" s="9" t="s">
        <v>7</v>
      </c>
      <c r="Q2" s="10" t="s">
        <v>8</v>
      </c>
    </row>
    <row r="3" spans="1:17" x14ac:dyDescent="0.25">
      <c r="A3" s="46" t="s">
        <v>66</v>
      </c>
      <c r="B3" s="7" t="s">
        <v>43</v>
      </c>
      <c r="C3" s="27">
        <v>1</v>
      </c>
      <c r="D3" s="27">
        <v>4.7899999999999998E-2</v>
      </c>
      <c r="E3" s="27">
        <f>Tabela111526[[#This Row],[Coluna5]]/$D$3</f>
        <v>1</v>
      </c>
      <c r="F3" s="27">
        <v>7.17E-2</v>
      </c>
      <c r="G3" s="27">
        <f>Tabela111526[[#This Row],[Coluna2]]/$F$3</f>
        <v>1</v>
      </c>
      <c r="H3" s="14">
        <v>1</v>
      </c>
      <c r="J3" s="46" t="s">
        <v>66</v>
      </c>
      <c r="K3" s="7" t="s">
        <v>43</v>
      </c>
      <c r="L3" s="14">
        <v>1</v>
      </c>
      <c r="M3" s="14">
        <v>1</v>
      </c>
      <c r="N3" s="14">
        <v>1</v>
      </c>
      <c r="O3" s="14">
        <v>1</v>
      </c>
      <c r="P3" s="14">
        <v>1</v>
      </c>
      <c r="Q3" s="14">
        <v>1</v>
      </c>
    </row>
    <row r="4" spans="1:17" x14ac:dyDescent="0.25">
      <c r="A4" s="46"/>
      <c r="B4" s="7" t="s">
        <v>44</v>
      </c>
      <c r="C4" s="27">
        <v>0.98199999999999998</v>
      </c>
      <c r="D4" s="27">
        <v>4.5499999999999999E-2</v>
      </c>
      <c r="E4" s="27">
        <f>Tabela111526[[#This Row],[Coluna5]]/$D$3</f>
        <v>0.94989561586638827</v>
      </c>
      <c r="F4" s="27">
        <v>6.7900000000000002E-2</v>
      </c>
      <c r="G4" s="27">
        <f>Tabela111526[[#This Row],[Coluna2]]/$F$3</f>
        <v>0.94700139470013955</v>
      </c>
      <c r="H4" s="14">
        <v>0.96263233224350897</v>
      </c>
      <c r="J4" s="46"/>
      <c r="K4" s="7" t="s">
        <v>44</v>
      </c>
      <c r="L4" s="14">
        <v>1.0033147447031801</v>
      </c>
      <c r="M4" s="14">
        <v>0.9460714636171601</v>
      </c>
      <c r="N4" s="14">
        <v>0.93005608261814998</v>
      </c>
      <c r="O4" s="14">
        <v>0.92924241268461205</v>
      </c>
      <c r="P4" s="14">
        <v>0.98092907011598995</v>
      </c>
      <c r="Q4" s="14">
        <v>0.96263233224350897</v>
      </c>
    </row>
    <row r="5" spans="1:17" ht="21" x14ac:dyDescent="0.25">
      <c r="A5" s="46"/>
      <c r="B5" s="7" t="s">
        <v>63</v>
      </c>
      <c r="C5" s="27">
        <v>0.64600000000000002</v>
      </c>
      <c r="D5" s="27">
        <v>2.3E-2</v>
      </c>
      <c r="E5" s="27">
        <f>Tabela111526[[#This Row],[Coluna5]]/$D$3</f>
        <v>0.4801670146137787</v>
      </c>
      <c r="F5" s="27">
        <v>3.0599999999999999E-2</v>
      </c>
      <c r="G5" s="27">
        <f>Tabela111526[[#This Row],[Coluna2]]/$F$3</f>
        <v>0.42677824267782427</v>
      </c>
      <c r="H5" s="14">
        <v>1.01810616753118</v>
      </c>
      <c r="J5" s="46"/>
      <c r="K5" s="7" t="s">
        <v>63</v>
      </c>
      <c r="L5" s="14">
        <v>1.2415627239045701</v>
      </c>
      <c r="M5" s="14">
        <v>1.3348602478680101</v>
      </c>
      <c r="N5" s="14">
        <v>1.73512971173583</v>
      </c>
      <c r="O5" s="14">
        <v>-0.40923835826764898</v>
      </c>
      <c r="P5" s="14">
        <v>1.03336172037375</v>
      </c>
      <c r="Q5" s="14">
        <v>1.01810616753118</v>
      </c>
    </row>
    <row r="6" spans="1:17" ht="18" x14ac:dyDescent="0.25">
      <c r="A6" s="46"/>
      <c r="B6" s="7" t="s">
        <v>64</v>
      </c>
      <c r="C6" s="27">
        <v>0.625</v>
      </c>
      <c r="D6" s="27">
        <v>2.2499999999999999E-2</v>
      </c>
      <c r="E6" s="27">
        <f>Tabela111526[[#This Row],[Coluna5]]/$D$3</f>
        <v>0.46972860125260962</v>
      </c>
      <c r="F6" s="27">
        <v>2.6200000000000001E-2</v>
      </c>
      <c r="G6" s="27">
        <f>Tabela111526[[#This Row],[Coluna2]]/$F$3</f>
        <v>0.36541143654114366</v>
      </c>
      <c r="H6" s="14">
        <v>0.87368561054965599</v>
      </c>
      <c r="J6" s="46"/>
      <c r="K6" s="7" t="s">
        <v>64</v>
      </c>
      <c r="L6" s="14">
        <v>0.81893964196884195</v>
      </c>
      <c r="M6" s="14">
        <v>0.70289724501196704</v>
      </c>
      <c r="N6" s="14">
        <v>2.87725792535762</v>
      </c>
      <c r="O6" s="14">
        <v>2.59299157106219</v>
      </c>
      <c r="P6" s="14">
        <v>0.88848260350847896</v>
      </c>
      <c r="Q6" s="14">
        <v>0.87368561054965599</v>
      </c>
    </row>
    <row r="7" spans="1:17" x14ac:dyDescent="0.25">
      <c r="A7" s="46"/>
      <c r="B7" s="7" t="s">
        <v>45</v>
      </c>
      <c r="C7" s="27">
        <v>0.86899999999999999</v>
      </c>
      <c r="D7" s="27">
        <v>4.0399999999999998E-2</v>
      </c>
      <c r="E7" s="27">
        <f>Tabela111526[[#This Row],[Coluna5]]/$D$3</f>
        <v>0.8434237995824635</v>
      </c>
      <c r="F7" s="27">
        <v>5.96E-2</v>
      </c>
      <c r="G7" s="27">
        <f>Tabela111526[[#This Row],[Coluna2]]/$F$3</f>
        <v>0.83124128312412837</v>
      </c>
      <c r="H7" s="14">
        <v>0.95540852524362196</v>
      </c>
      <c r="J7" s="46"/>
      <c r="K7" s="7" t="s">
        <v>45</v>
      </c>
      <c r="L7" s="14">
        <v>1.03521902173937</v>
      </c>
      <c r="M7" s="14">
        <v>1.0128949438805099</v>
      </c>
      <c r="N7" s="14">
        <v>1.5514782076829801</v>
      </c>
      <c r="O7" s="14">
        <v>1.3739065874870999</v>
      </c>
      <c r="P7" s="14">
        <v>0.975662579329867</v>
      </c>
      <c r="Q7" s="14">
        <v>0.95540852524362196</v>
      </c>
    </row>
    <row r="8" spans="1:17" ht="21" x14ac:dyDescent="0.25">
      <c r="A8" s="46"/>
      <c r="B8" s="7" t="s">
        <v>84</v>
      </c>
      <c r="C8" s="27">
        <v>0.67500000000000004</v>
      </c>
      <c r="D8" s="27">
        <v>2.46E-2</v>
      </c>
      <c r="E8" s="27">
        <f>Tabela111526[[#This Row],[Coluna5]]/$D$3</f>
        <v>0.51356993736951984</v>
      </c>
      <c r="F8" s="27">
        <v>3.3599999999999998E-2</v>
      </c>
      <c r="G8" s="27">
        <f>Tabela111526[[#This Row],[Coluna2]]/$F$3</f>
        <v>0.46861924686192463</v>
      </c>
      <c r="H8" s="14">
        <v>0.99091614706471998</v>
      </c>
      <c r="J8" s="46"/>
      <c r="K8" s="7" t="s">
        <v>84</v>
      </c>
      <c r="L8" s="14">
        <v>1.2223549481137999</v>
      </c>
      <c r="M8" s="14">
        <v>1.28279011902186</v>
      </c>
      <c r="N8" s="14">
        <v>2.2796642078926599</v>
      </c>
      <c r="O8" s="14">
        <v>-0.75465953172877309</v>
      </c>
      <c r="P8" s="14">
        <v>1.0159562958683899</v>
      </c>
      <c r="Q8" s="14">
        <v>0.99091614706471998</v>
      </c>
    </row>
    <row r="9" spans="1:17" ht="18" x14ac:dyDescent="0.25">
      <c r="A9" s="46"/>
      <c r="B9" s="7" t="s">
        <v>85</v>
      </c>
      <c r="C9" s="27">
        <v>0.44800000000000001</v>
      </c>
      <c r="D9" s="27">
        <v>1.32E-2</v>
      </c>
      <c r="E9" s="27">
        <f>Tabela111526[[#This Row],[Coluna5]]/$D$3</f>
        <v>0.27557411273486432</v>
      </c>
      <c r="F9" s="27">
        <v>1.03E-2</v>
      </c>
      <c r="G9" s="27">
        <f>Tabela111526[[#This Row],[Coluna2]]/$F$3</f>
        <v>0.14365411436541145</v>
      </c>
      <c r="H9" s="14">
        <v>0.82168968399070097</v>
      </c>
      <c r="J9" s="46"/>
      <c r="K9" s="7" t="s">
        <v>85</v>
      </c>
      <c r="L9" s="14">
        <v>0.78221422514324201</v>
      </c>
      <c r="M9" s="14">
        <v>0.62660383410965403</v>
      </c>
      <c r="N9" s="14">
        <v>2.2818572155560002</v>
      </c>
      <c r="O9" s="14">
        <v>2.0353251527459699</v>
      </c>
      <c r="P9" s="14">
        <v>0.83350703025899708</v>
      </c>
      <c r="Q9" s="14">
        <v>0.82168968399070097</v>
      </c>
    </row>
    <row r="10" spans="1:17" x14ac:dyDescent="0.25">
      <c r="A10" s="46"/>
      <c r="B10" s="7" t="s">
        <v>46</v>
      </c>
      <c r="C10" s="27">
        <v>0.95499999999999996</v>
      </c>
      <c r="D10" s="27">
        <v>4.19E-2</v>
      </c>
      <c r="E10" s="27">
        <f>Tabela111526[[#This Row],[Coluna5]]/$D$3</f>
        <v>0.87473903966597077</v>
      </c>
      <c r="F10" s="27">
        <v>6.2199999999999998E-2</v>
      </c>
      <c r="G10" s="27">
        <f>Tabela111526[[#This Row],[Coluna2]]/$F$3</f>
        <v>0.86750348675034861</v>
      </c>
      <c r="H10" s="14">
        <v>0.95398123279159708</v>
      </c>
      <c r="J10" s="46"/>
      <c r="K10" s="7" t="s">
        <v>46</v>
      </c>
      <c r="L10" s="14">
        <v>1.02195058573774</v>
      </c>
      <c r="M10" s="14">
        <v>0.98369869294585499</v>
      </c>
      <c r="N10" s="14">
        <v>1.4547242839722001</v>
      </c>
      <c r="O10" s="14">
        <v>1.05887943438793</v>
      </c>
      <c r="P10" s="14">
        <v>0.97803279794977993</v>
      </c>
      <c r="Q10" s="14">
        <v>0.95398123279159708</v>
      </c>
    </row>
    <row r="11" spans="1:17" x14ac:dyDescent="0.25">
      <c r="A11" s="46"/>
      <c r="B11" s="7" t="s">
        <v>47</v>
      </c>
      <c r="C11" s="27">
        <v>0.753</v>
      </c>
      <c r="D11" s="27">
        <v>2.7199999999999998E-2</v>
      </c>
      <c r="E11" s="27">
        <f>Tabela111526[[#This Row],[Coluna5]]/$D$3</f>
        <v>0.56784968684759918</v>
      </c>
      <c r="F11" s="27">
        <v>3.7900000000000003E-2</v>
      </c>
      <c r="G11" s="27">
        <f>Tabela111526[[#This Row],[Coluna2]]/$F$3</f>
        <v>0.52859135285913528</v>
      </c>
      <c r="H11" s="14">
        <v>0.96793455496862502</v>
      </c>
      <c r="J11" s="46"/>
      <c r="K11" s="7" t="s">
        <v>47</v>
      </c>
      <c r="L11" s="14">
        <v>1.2015932661212401</v>
      </c>
      <c r="M11" s="14">
        <v>1.2338147537531099</v>
      </c>
      <c r="N11" s="14">
        <v>2.23554159730792</v>
      </c>
      <c r="O11" s="14">
        <v>-0.94512203829891406</v>
      </c>
      <c r="P11" s="14">
        <v>1.00481190111781</v>
      </c>
      <c r="Q11" s="14">
        <v>0.96793455496862502</v>
      </c>
    </row>
    <row r="12" spans="1:17" x14ac:dyDescent="0.25">
      <c r="A12" s="46"/>
      <c r="B12" s="7" t="s">
        <v>48</v>
      </c>
      <c r="C12" s="27">
        <v>0.27800000000000002</v>
      </c>
      <c r="D12" s="27">
        <v>7.0000000000000001E-3</v>
      </c>
      <c r="E12" s="27">
        <f>Tabela111526[[#This Row],[Coluna5]]/$D$3</f>
        <v>0.14613778705636743</v>
      </c>
      <c r="F12" s="27">
        <v>1E-4</v>
      </c>
      <c r="G12" s="27">
        <f>Tabela111526[[#This Row],[Coluna2]]/$F$3</f>
        <v>1.3947001394700141E-3</v>
      </c>
      <c r="H12" s="14">
        <v>0.76788333918940099</v>
      </c>
      <c r="J12" s="46"/>
      <c r="K12" s="7" t="s">
        <v>48</v>
      </c>
      <c r="L12" s="14">
        <v>0.75374966280618194</v>
      </c>
      <c r="M12" s="14">
        <v>0.55936173155264302</v>
      </c>
      <c r="N12" s="14">
        <v>1.65588083775957</v>
      </c>
      <c r="O12" s="14">
        <v>1.5611114536234201</v>
      </c>
      <c r="P12" s="14">
        <v>0.78894533211844697</v>
      </c>
      <c r="Q12" s="14">
        <v>0.76788333918940099</v>
      </c>
    </row>
    <row r="13" spans="1:17" x14ac:dyDescent="0.25">
      <c r="A13" s="46" t="s">
        <v>65</v>
      </c>
      <c r="B13" s="7" t="s">
        <v>53</v>
      </c>
      <c r="C13" s="27">
        <v>0.97599999999999998</v>
      </c>
      <c r="D13" s="27">
        <v>4.3400000000000001E-2</v>
      </c>
      <c r="E13" s="27">
        <f>Tabela111526[[#This Row],[Coluna5]]/$D$3</f>
        <v>0.90605427974947816</v>
      </c>
      <c r="F13" s="27">
        <v>6.4399999999999999E-2</v>
      </c>
      <c r="G13" s="27">
        <f>Tabela111526[[#This Row],[Coluna2]]/$F$3</f>
        <v>0.89818688981868899</v>
      </c>
      <c r="H13" s="14">
        <v>0.93707010010898206</v>
      </c>
      <c r="J13" s="46" t="s">
        <v>65</v>
      </c>
      <c r="K13" s="7" t="s">
        <v>53</v>
      </c>
      <c r="L13" s="14">
        <v>0.96183348772569399</v>
      </c>
      <c r="M13" s="14">
        <v>1.01844577794024</v>
      </c>
      <c r="N13" s="14">
        <v>0.901746046508063</v>
      </c>
      <c r="O13" s="14">
        <v>0.89270406970810601</v>
      </c>
      <c r="P13" s="14">
        <v>0.94459564348259306</v>
      </c>
      <c r="Q13" s="14">
        <v>0.93707010010898206</v>
      </c>
    </row>
    <row r="14" spans="1:17" x14ac:dyDescent="0.25">
      <c r="A14" s="46"/>
      <c r="B14" s="7" t="s">
        <v>54</v>
      </c>
      <c r="C14" s="27">
        <v>0.41799999999999998</v>
      </c>
      <c r="D14" s="27">
        <v>8.9999999999999993E-3</v>
      </c>
      <c r="E14" s="27">
        <f>Tabela111526[[#This Row],[Coluna5]]/$D$3</f>
        <v>0.18789144050104384</v>
      </c>
      <c r="F14" s="27">
        <v>0.01</v>
      </c>
      <c r="G14" s="27">
        <f>Tabela111526[[#This Row],[Coluna2]]/$F$3</f>
        <v>0.1394700139470014</v>
      </c>
      <c r="H14" s="14">
        <v>0.8756032246089831</v>
      </c>
      <c r="J14" s="46"/>
      <c r="K14" s="7" t="s">
        <v>54</v>
      </c>
      <c r="L14" s="14">
        <v>1.0316505091345101</v>
      </c>
      <c r="M14" s="14">
        <v>1.0828126138730101</v>
      </c>
      <c r="N14" s="14">
        <v>1.2628671136974801</v>
      </c>
      <c r="O14" s="14">
        <v>1.25605193136889</v>
      </c>
      <c r="P14" s="14">
        <v>0.91383044400904401</v>
      </c>
      <c r="Q14" s="14">
        <v>0.8756032246089831</v>
      </c>
    </row>
    <row r="15" spans="1:17" x14ac:dyDescent="0.25">
      <c r="A15" s="46"/>
      <c r="B15" s="7" t="s">
        <v>55</v>
      </c>
      <c r="C15" s="27">
        <v>0.85099999999999998</v>
      </c>
      <c r="D15" s="27">
        <v>3.6200000000000003E-2</v>
      </c>
      <c r="E15" s="27">
        <f>Tabela111526[[#This Row],[Coluna5]]/$D$3</f>
        <v>0.75574112734864307</v>
      </c>
      <c r="F15" s="27">
        <v>5.3100000000000001E-2</v>
      </c>
      <c r="G15" s="27">
        <f>Tabela111526[[#This Row],[Coluna2]]/$F$3</f>
        <v>0.7405857740585774</v>
      </c>
      <c r="H15" s="14">
        <v>0.947533602910962</v>
      </c>
      <c r="J15" s="46"/>
      <c r="K15" s="7" t="s">
        <v>55</v>
      </c>
      <c r="L15" s="14">
        <v>1.00984403294164</v>
      </c>
      <c r="M15" s="14">
        <v>1.0808896484089099</v>
      </c>
      <c r="N15" s="14">
        <v>2.5194761790812201</v>
      </c>
      <c r="O15" s="14">
        <v>1.7472309620915498</v>
      </c>
      <c r="P15" s="14">
        <v>0.96674547544322498</v>
      </c>
      <c r="Q15" s="14">
        <v>0.947533602910962</v>
      </c>
    </row>
    <row r="16" spans="1:17" x14ac:dyDescent="0.25">
      <c r="A16" s="46"/>
      <c r="B16" s="7" t="s">
        <v>56</v>
      </c>
      <c r="C16" s="27">
        <v>0.35899999999999999</v>
      </c>
      <c r="D16" s="27">
        <v>6.6E-3</v>
      </c>
      <c r="E16" s="27">
        <f>Tabela111526[[#This Row],[Coluna5]]/$D$3</f>
        <v>0.13778705636743216</v>
      </c>
      <c r="F16" s="27">
        <v>6.8999999999999999E-3</v>
      </c>
      <c r="G16" s="27">
        <f>Tabela111526[[#This Row],[Coluna2]]/$F$3</f>
        <v>9.6234309623430964E-2</v>
      </c>
      <c r="H16" s="14">
        <v>0.83623059805340305</v>
      </c>
      <c r="J16" s="46"/>
      <c r="K16" s="7" t="s">
        <v>56</v>
      </c>
      <c r="L16" s="14">
        <v>0.94000269304711903</v>
      </c>
      <c r="M16" s="14">
        <v>0.92262230284152391</v>
      </c>
      <c r="N16" s="14">
        <v>2.7471339556375698</v>
      </c>
      <c r="O16" s="14">
        <v>0.20312367748158</v>
      </c>
      <c r="P16" s="14">
        <v>0.90480217408997698</v>
      </c>
      <c r="Q16" s="14">
        <v>0.83623059805340305</v>
      </c>
    </row>
    <row r="17" spans="1:17" x14ac:dyDescent="0.25">
      <c r="A17" s="46"/>
      <c r="B17" s="7" t="s">
        <v>57</v>
      </c>
      <c r="C17" s="27">
        <v>0.98099999999999998</v>
      </c>
      <c r="D17" s="27">
        <v>3.7699999999999997E-2</v>
      </c>
      <c r="E17" s="27">
        <f>Tabela111526[[#This Row],[Coluna5]]/$D$3</f>
        <v>0.78705636743215024</v>
      </c>
      <c r="F17" s="27">
        <v>5.6000000000000001E-2</v>
      </c>
      <c r="G17" s="27">
        <f>Tabela111526[[#This Row],[Coluna2]]/$F$3</f>
        <v>0.78103207810320785</v>
      </c>
      <c r="H17" s="14">
        <v>0.94043088748210901</v>
      </c>
      <c r="J17" s="46"/>
      <c r="K17" s="7" t="s">
        <v>57</v>
      </c>
      <c r="L17" s="14">
        <v>0.97706721764549298</v>
      </c>
      <c r="M17" s="14">
        <v>1.0254662373516599</v>
      </c>
      <c r="N17" s="14">
        <v>2.5256262489363199</v>
      </c>
      <c r="O17" s="14">
        <v>1.0880822085286901</v>
      </c>
      <c r="P17" s="14">
        <v>0.96186211044742298</v>
      </c>
      <c r="Q17" s="14">
        <v>0.94043088748210901</v>
      </c>
    </row>
    <row r="18" spans="1:17" x14ac:dyDescent="0.25">
      <c r="A18" s="46"/>
      <c r="B18" s="7" t="s">
        <v>58</v>
      </c>
      <c r="C18" s="27">
        <v>0.314</v>
      </c>
      <c r="D18" s="27">
        <v>4.8999999999999998E-3</v>
      </c>
      <c r="E18" s="27">
        <f>Tabela111526[[#This Row],[Coluna5]]/$D$3</f>
        <v>0.1022964509394572</v>
      </c>
      <c r="F18" s="27">
        <v>4.7000000000000002E-3</v>
      </c>
      <c r="G18" s="27">
        <f>Tabela111526[[#This Row],[Coluna2]]/$F$3</f>
        <v>6.555090655509066E-2</v>
      </c>
      <c r="H18" s="14">
        <v>0.79798948289928906</v>
      </c>
      <c r="J18" s="46"/>
      <c r="K18" s="7" t="s">
        <v>58</v>
      </c>
      <c r="L18" s="14">
        <v>0.87482509829847099</v>
      </c>
      <c r="M18" s="14">
        <v>0.78717977116079696</v>
      </c>
      <c r="N18" s="14">
        <v>2.8548665020517596</v>
      </c>
      <c r="O18" s="14">
        <v>-0.58971007087218297</v>
      </c>
      <c r="P18" s="14">
        <v>0.89852923368886595</v>
      </c>
      <c r="Q18" s="14">
        <v>0.79798948289928906</v>
      </c>
    </row>
  </sheetData>
  <mergeCells count="6">
    <mergeCell ref="A3:A12"/>
    <mergeCell ref="J3:J12"/>
    <mergeCell ref="A13:A18"/>
    <mergeCell ref="J13:J18"/>
    <mergeCell ref="D1:G1"/>
    <mergeCell ref="L1:Q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1175A-A11E-4590-A5E2-888C0914B016}">
  <dimension ref="A1:O18"/>
  <sheetViews>
    <sheetView zoomScale="25" zoomScaleNormal="25" workbookViewId="0">
      <selection activeCell="J78" sqref="A25:J78"/>
    </sheetView>
  </sheetViews>
  <sheetFormatPr defaultRowHeight="15" x14ac:dyDescent="0.25"/>
  <cols>
    <col min="4" max="4" width="21" customWidth="1"/>
    <col min="5" max="5" width="25.7109375" bestFit="1" customWidth="1"/>
    <col min="6" max="6" width="22.7109375" customWidth="1"/>
    <col min="7" max="7" width="10.140625" customWidth="1"/>
    <col min="10" max="10" width="29.140625" bestFit="1" customWidth="1"/>
    <col min="11" max="11" width="28.7109375" bestFit="1" customWidth="1"/>
    <col min="12" max="12" width="14" bestFit="1" customWidth="1"/>
    <col min="13" max="13" width="13.5703125" bestFit="1" customWidth="1"/>
    <col min="14" max="14" width="9.42578125" bestFit="1" customWidth="1"/>
    <col min="15" max="15" width="10.28515625" bestFit="1" customWidth="1"/>
    <col min="23" max="23" width="5.7109375" bestFit="1" customWidth="1"/>
    <col min="24" max="24" width="8.42578125" bestFit="1" customWidth="1"/>
    <col min="25" max="25" width="29.140625" bestFit="1" customWidth="1"/>
    <col min="26" max="26" width="28.7109375" bestFit="1" customWidth="1"/>
    <col min="27" max="27" width="14" bestFit="1" customWidth="1"/>
    <col min="28" max="28" width="13.5703125" bestFit="1" customWidth="1"/>
    <col min="29" max="29" width="9.42578125" bestFit="1" customWidth="1"/>
    <col min="30" max="30" width="10.28515625" bestFit="1" customWidth="1"/>
    <col min="35" max="35" width="21.85546875" bestFit="1" customWidth="1"/>
    <col min="36" max="36" width="20.42578125" bestFit="1" customWidth="1"/>
  </cols>
  <sheetData>
    <row r="1" spans="1:15" x14ac:dyDescent="0.25">
      <c r="A1" s="7"/>
      <c r="B1" s="7"/>
      <c r="C1" s="45"/>
      <c r="D1" s="45"/>
      <c r="E1" s="45"/>
      <c r="F1" s="29"/>
      <c r="H1" s="7"/>
      <c r="I1" s="7"/>
      <c r="J1" s="47" t="s">
        <v>80</v>
      </c>
      <c r="K1" s="47"/>
      <c r="L1" s="47"/>
      <c r="M1" s="47"/>
      <c r="N1" s="47"/>
      <c r="O1" s="47"/>
    </row>
    <row r="2" spans="1:15" x14ac:dyDescent="0.25">
      <c r="A2" s="12"/>
      <c r="B2" s="11" t="s">
        <v>39</v>
      </c>
      <c r="C2" s="13" t="s">
        <v>83</v>
      </c>
      <c r="D2" s="13" t="s">
        <v>82</v>
      </c>
      <c r="E2" s="13" t="s">
        <v>81</v>
      </c>
      <c r="F2" s="10" t="s">
        <v>8</v>
      </c>
      <c r="H2" s="12"/>
      <c r="I2" s="11" t="s">
        <v>39</v>
      </c>
      <c r="J2" s="9" t="s">
        <v>1</v>
      </c>
      <c r="K2" s="9" t="s">
        <v>2</v>
      </c>
      <c r="L2" s="9" t="s">
        <v>3</v>
      </c>
      <c r="M2" s="9" t="s">
        <v>4</v>
      </c>
      <c r="N2" s="9" t="s">
        <v>7</v>
      </c>
      <c r="O2" s="10" t="s">
        <v>8</v>
      </c>
    </row>
    <row r="3" spans="1:15" x14ac:dyDescent="0.25">
      <c r="A3" s="46" t="s">
        <v>66</v>
      </c>
      <c r="B3" s="7" t="s">
        <v>43</v>
      </c>
      <c r="C3" s="27">
        <v>1</v>
      </c>
      <c r="D3" s="27">
        <v>1</v>
      </c>
      <c r="E3" s="27">
        <v>1</v>
      </c>
      <c r="F3" s="14">
        <v>1</v>
      </c>
      <c r="H3" s="46" t="s">
        <v>66</v>
      </c>
      <c r="I3" s="7" t="s">
        <v>43</v>
      </c>
      <c r="J3" s="14">
        <v>1</v>
      </c>
      <c r="K3" s="14">
        <v>1</v>
      </c>
      <c r="L3" s="14">
        <v>1</v>
      </c>
      <c r="M3" s="14">
        <v>1</v>
      </c>
      <c r="N3" s="14">
        <v>1</v>
      </c>
      <c r="O3" s="14">
        <v>1</v>
      </c>
    </row>
    <row r="4" spans="1:15" x14ac:dyDescent="0.25">
      <c r="A4" s="46"/>
      <c r="B4" s="7" t="s">
        <v>44</v>
      </c>
      <c r="C4" s="27">
        <v>0.9924050632911392</v>
      </c>
      <c r="D4" s="27">
        <v>0.98498498498498499</v>
      </c>
      <c r="E4" s="27">
        <v>0.96233333333333337</v>
      </c>
      <c r="F4" s="14">
        <v>0.96263233224350897</v>
      </c>
      <c r="H4" s="46"/>
      <c r="I4" s="7" t="s">
        <v>44</v>
      </c>
      <c r="J4" s="14">
        <v>1.0033147447031801</v>
      </c>
      <c r="K4" s="14">
        <v>0.9460714636171601</v>
      </c>
      <c r="L4" s="14">
        <v>0.93005608261814998</v>
      </c>
      <c r="M4" s="14">
        <v>0.92924241268461205</v>
      </c>
      <c r="N4" s="14">
        <v>0.98092907011598995</v>
      </c>
      <c r="O4" s="14">
        <v>0.96263233224350897</v>
      </c>
    </row>
    <row r="5" spans="1:15" ht="21" x14ac:dyDescent="0.25">
      <c r="A5" s="46"/>
      <c r="B5" s="7" t="s">
        <v>63</v>
      </c>
      <c r="C5" s="27">
        <v>-0.22151898734177214</v>
      </c>
      <c r="D5" s="27">
        <v>7.407407407407407E-2</v>
      </c>
      <c r="E5" s="27">
        <v>0.11066666666666666</v>
      </c>
      <c r="F5" s="14">
        <v>1.01810616753118</v>
      </c>
      <c r="H5" s="46"/>
      <c r="I5" s="7" t="s">
        <v>63</v>
      </c>
      <c r="J5" s="14">
        <v>1.2415627239045701</v>
      </c>
      <c r="K5" s="14">
        <v>1.3348602478680101</v>
      </c>
      <c r="L5" s="14">
        <v>1.73512971173583</v>
      </c>
      <c r="M5" s="14">
        <v>-0.40923835826764898</v>
      </c>
      <c r="N5" s="14">
        <v>1.03336172037375</v>
      </c>
      <c r="O5" s="14">
        <v>1.01810616753118</v>
      </c>
    </row>
    <row r="6" spans="1:15" ht="18" x14ac:dyDescent="0.25">
      <c r="A6" s="46"/>
      <c r="B6" s="7" t="s">
        <v>64</v>
      </c>
      <c r="C6" s="27">
        <v>0.16202531645569621</v>
      </c>
      <c r="D6" s="27">
        <v>0.5805805805805806</v>
      </c>
      <c r="E6" s="27">
        <v>0.50166666666666671</v>
      </c>
      <c r="F6" s="14">
        <v>0.87368561054965599</v>
      </c>
      <c r="H6" s="46"/>
      <c r="I6" s="7" t="s">
        <v>64</v>
      </c>
      <c r="J6" s="14">
        <v>0.81893964196884195</v>
      </c>
      <c r="K6" s="14">
        <v>0.70289724501196704</v>
      </c>
      <c r="L6" s="14">
        <v>2.87725792535762</v>
      </c>
      <c r="M6" s="14">
        <v>2.59299157106219</v>
      </c>
      <c r="N6" s="14">
        <v>0.88848260350847896</v>
      </c>
      <c r="O6" s="14">
        <v>0.87368561054965599</v>
      </c>
    </row>
    <row r="7" spans="1:15" x14ac:dyDescent="0.25">
      <c r="A7" s="46"/>
      <c r="B7" s="7" t="s">
        <v>45</v>
      </c>
      <c r="C7" s="27">
        <v>0.96835443037974689</v>
      </c>
      <c r="D7" s="27">
        <v>0.86886886886886883</v>
      </c>
      <c r="E7" s="27">
        <v>0.83933333333333338</v>
      </c>
      <c r="F7" s="14">
        <v>0.95540852524362196</v>
      </c>
      <c r="H7" s="46"/>
      <c r="I7" s="7" t="s">
        <v>45</v>
      </c>
      <c r="J7" s="14">
        <v>1.03521902173937</v>
      </c>
      <c r="K7" s="14">
        <v>1.0128949438805099</v>
      </c>
      <c r="L7" s="14">
        <v>1.5514782076829801</v>
      </c>
      <c r="M7" s="14">
        <v>1.3739065874870999</v>
      </c>
      <c r="N7" s="14">
        <v>0.975662579329867</v>
      </c>
      <c r="O7" s="14">
        <v>0.95540852524362196</v>
      </c>
    </row>
    <row r="8" spans="1:15" ht="21" x14ac:dyDescent="0.25">
      <c r="A8" s="46"/>
      <c r="B8" s="7" t="s">
        <v>84</v>
      </c>
      <c r="C8" s="27">
        <v>0.2189873417721519</v>
      </c>
      <c r="D8" s="27">
        <v>0.35935935935935936</v>
      </c>
      <c r="E8" s="27">
        <v>0.38999999999999996</v>
      </c>
      <c r="F8" s="14">
        <v>0.99091614706471998</v>
      </c>
      <c r="H8" s="46"/>
      <c r="I8" s="7" t="s">
        <v>84</v>
      </c>
      <c r="J8" s="14">
        <v>1.2223549481137999</v>
      </c>
      <c r="K8" s="14">
        <v>1.28279011902186</v>
      </c>
      <c r="L8" s="14">
        <v>2.2796642078926599</v>
      </c>
      <c r="M8" s="14">
        <v>-0.75465953172877309</v>
      </c>
      <c r="N8" s="14">
        <v>1.0159562958683899</v>
      </c>
      <c r="O8" s="14">
        <v>0.99091614706471998</v>
      </c>
    </row>
    <row r="9" spans="1:15" ht="18" x14ac:dyDescent="0.25">
      <c r="A9" s="46"/>
      <c r="B9" s="7" t="s">
        <v>85</v>
      </c>
      <c r="C9" s="27">
        <v>-0.59113924050632904</v>
      </c>
      <c r="D9" s="27">
        <v>0.17917917917917917</v>
      </c>
      <c r="E9" s="27">
        <v>0.14233333333333331</v>
      </c>
      <c r="F9" s="14">
        <v>0.82168968399070097</v>
      </c>
      <c r="H9" s="46"/>
      <c r="I9" s="7" t="s">
        <v>85</v>
      </c>
      <c r="J9" s="14">
        <v>0.78221422514324201</v>
      </c>
      <c r="K9" s="14">
        <v>0.62660383410965403</v>
      </c>
      <c r="L9" s="14">
        <v>2.2818572155560002</v>
      </c>
      <c r="M9" s="14">
        <v>2.0353251527459699</v>
      </c>
      <c r="N9" s="14">
        <v>0.83350703025899708</v>
      </c>
      <c r="O9" s="14">
        <v>0.82168968399070097</v>
      </c>
    </row>
    <row r="10" spans="1:15" x14ac:dyDescent="0.25">
      <c r="A10" s="46"/>
      <c r="B10" s="7" t="s">
        <v>46</v>
      </c>
      <c r="C10" s="27">
        <v>1.1151898734177215</v>
      </c>
      <c r="D10" s="27">
        <v>0.94494494494494485</v>
      </c>
      <c r="E10" s="27">
        <v>0.90700000000000003</v>
      </c>
      <c r="F10" s="14">
        <v>0.95398123279159708</v>
      </c>
      <c r="H10" s="46"/>
      <c r="I10" s="7" t="s">
        <v>46</v>
      </c>
      <c r="J10" s="14">
        <v>1.02195058573774</v>
      </c>
      <c r="K10" s="14">
        <v>0.98369869294585499</v>
      </c>
      <c r="L10" s="14">
        <v>1.4547242839722001</v>
      </c>
      <c r="M10" s="14">
        <v>1.05887943438793</v>
      </c>
      <c r="N10" s="14">
        <v>0.97803279794977993</v>
      </c>
      <c r="O10" s="14">
        <v>0.95398123279159708</v>
      </c>
    </row>
    <row r="11" spans="1:15" x14ac:dyDescent="0.25">
      <c r="A11" s="46"/>
      <c r="B11" s="7" t="s">
        <v>47</v>
      </c>
      <c r="C11" s="27">
        <v>0.49746835443037973</v>
      </c>
      <c r="D11" s="27">
        <v>0.56556556556556559</v>
      </c>
      <c r="E11" s="27">
        <v>0.60566666666666669</v>
      </c>
      <c r="F11" s="14">
        <v>0.96793455496862502</v>
      </c>
      <c r="H11" s="46"/>
      <c r="I11" s="7" t="s">
        <v>47</v>
      </c>
      <c r="J11" s="14">
        <v>1.2015932661212401</v>
      </c>
      <c r="K11" s="14">
        <v>1.2338147537531099</v>
      </c>
      <c r="L11" s="14">
        <v>2.23554159730792</v>
      </c>
      <c r="M11" s="14">
        <v>-0.94512203829891406</v>
      </c>
      <c r="N11" s="14">
        <v>1.00481190111781</v>
      </c>
      <c r="O11" s="14">
        <v>0.96793455496862502</v>
      </c>
    </row>
    <row r="12" spans="1:15" x14ac:dyDescent="0.25">
      <c r="A12" s="46"/>
      <c r="B12" s="7" t="s">
        <v>48</v>
      </c>
      <c r="C12" s="27">
        <v>-1.7544303797468352</v>
      </c>
      <c r="D12" s="27">
        <v>-0.3913913913913914</v>
      </c>
      <c r="E12" s="27">
        <v>-0.312</v>
      </c>
      <c r="F12" s="14">
        <v>0.76788333918940099</v>
      </c>
      <c r="H12" s="46"/>
      <c r="I12" s="7" t="s">
        <v>48</v>
      </c>
      <c r="J12" s="14">
        <v>0.75374966280618194</v>
      </c>
      <c r="K12" s="14">
        <v>0.55936173155264302</v>
      </c>
      <c r="L12" s="14">
        <v>1.65588083775957</v>
      </c>
      <c r="M12" s="14">
        <v>1.5611114536234201</v>
      </c>
      <c r="N12" s="14">
        <v>0.78894533211844697</v>
      </c>
      <c r="O12" s="14">
        <v>0.76788333918940099</v>
      </c>
    </row>
    <row r="13" spans="1:15" x14ac:dyDescent="0.25">
      <c r="A13" s="46" t="s">
        <v>65</v>
      </c>
      <c r="B13" s="7" t="s">
        <v>53</v>
      </c>
      <c r="C13" s="27">
        <v>0.98734177215189867</v>
      </c>
      <c r="D13" s="27">
        <v>0.95595595595595606</v>
      </c>
      <c r="E13" s="27">
        <v>0.91099999999999992</v>
      </c>
      <c r="F13" s="14">
        <v>0.93707010010898206</v>
      </c>
      <c r="H13" s="46" t="s">
        <v>65</v>
      </c>
      <c r="I13" s="7" t="s">
        <v>53</v>
      </c>
      <c r="J13" s="14">
        <v>0.96183348772569399</v>
      </c>
      <c r="K13" s="14">
        <v>1.01844577794024</v>
      </c>
      <c r="L13" s="14">
        <v>0.901746046508063</v>
      </c>
      <c r="M13" s="14">
        <v>0.89270406970810601</v>
      </c>
      <c r="N13" s="14">
        <v>0.94459564348259306</v>
      </c>
      <c r="O13" s="14">
        <v>0.93707010010898206</v>
      </c>
    </row>
    <row r="14" spans="1:15" x14ac:dyDescent="0.25">
      <c r="A14" s="46"/>
      <c r="B14" s="7" t="s">
        <v>54</v>
      </c>
      <c r="C14" s="27">
        <v>-0.33164556962025316</v>
      </c>
      <c r="D14" s="27">
        <v>0.13713713713713716</v>
      </c>
      <c r="E14" s="27">
        <v>4.5333333333333337E-2</v>
      </c>
      <c r="F14" s="14">
        <v>0.8756032246089831</v>
      </c>
      <c r="H14" s="46"/>
      <c r="I14" s="7" t="s">
        <v>54</v>
      </c>
      <c r="J14" s="14">
        <v>1.0316505091345101</v>
      </c>
      <c r="K14" s="14">
        <v>1.0828126138730101</v>
      </c>
      <c r="L14" s="14">
        <v>1.2628671136974801</v>
      </c>
      <c r="M14" s="14">
        <v>1.25605193136889</v>
      </c>
      <c r="N14" s="14">
        <v>0.91383044400904401</v>
      </c>
      <c r="O14" s="14">
        <v>0.8756032246089831</v>
      </c>
    </row>
    <row r="15" spans="1:15" x14ac:dyDescent="0.25">
      <c r="A15" s="46"/>
      <c r="B15" s="7" t="s">
        <v>55</v>
      </c>
      <c r="C15" s="27">
        <v>1.0278481012658227</v>
      </c>
      <c r="D15" s="27">
        <v>0.82482482482482478</v>
      </c>
      <c r="E15" s="27">
        <v>0.75466666666666671</v>
      </c>
      <c r="F15" s="14">
        <v>0.947533602910962</v>
      </c>
      <c r="H15" s="46"/>
      <c r="I15" s="7" t="s">
        <v>55</v>
      </c>
      <c r="J15" s="14">
        <v>1.00984403294164</v>
      </c>
      <c r="K15" s="14">
        <v>1.0808896484089099</v>
      </c>
      <c r="L15" s="14">
        <v>2.5194761790812201</v>
      </c>
      <c r="M15" s="14">
        <v>1.7472309620915498</v>
      </c>
      <c r="N15" s="14">
        <v>0.96674547544322498</v>
      </c>
      <c r="O15" s="14">
        <v>0.947533602910962</v>
      </c>
    </row>
    <row r="16" spans="1:15" x14ac:dyDescent="0.25">
      <c r="A16" s="46"/>
      <c r="B16" s="7" t="s">
        <v>56</v>
      </c>
      <c r="C16" s="27">
        <v>-0.52784810126582271</v>
      </c>
      <c r="D16" s="27">
        <v>8.9089089089089094E-2</v>
      </c>
      <c r="E16" s="27">
        <v>2.4333333333333332E-2</v>
      </c>
      <c r="F16" s="14">
        <v>0.83623059805340305</v>
      </c>
      <c r="H16" s="46"/>
      <c r="I16" s="7" t="s">
        <v>56</v>
      </c>
      <c r="J16" s="14">
        <v>0.94000269304711903</v>
      </c>
      <c r="K16" s="14">
        <v>0.92262230284152391</v>
      </c>
      <c r="L16" s="14">
        <v>2.7471339556375698</v>
      </c>
      <c r="M16" s="14">
        <v>0.20312367748158</v>
      </c>
      <c r="N16" s="14">
        <v>0.90480217408997698</v>
      </c>
      <c r="O16" s="14">
        <v>0.83623059805340305</v>
      </c>
    </row>
    <row r="17" spans="1:15" x14ac:dyDescent="0.25">
      <c r="A17" s="46"/>
      <c r="B17" s="7" t="s">
        <v>57</v>
      </c>
      <c r="C17" s="27">
        <v>1.2443037974683544</v>
      </c>
      <c r="D17" s="27">
        <v>0.91191191191191179</v>
      </c>
      <c r="E17" s="27">
        <v>0.83133333333333337</v>
      </c>
      <c r="F17" s="14">
        <v>0.94043088748210901</v>
      </c>
      <c r="H17" s="46"/>
      <c r="I17" s="7" t="s">
        <v>57</v>
      </c>
      <c r="J17" s="14">
        <v>0.97706721764549298</v>
      </c>
      <c r="K17" s="14">
        <v>1.0254662373516599</v>
      </c>
      <c r="L17" s="14">
        <v>2.5256262489363199</v>
      </c>
      <c r="M17" s="14">
        <v>1.0880822085286901</v>
      </c>
      <c r="N17" s="14">
        <v>0.96186211044742298</v>
      </c>
      <c r="O17" s="14">
        <v>0.94043088748210901</v>
      </c>
    </row>
    <row r="18" spans="1:15" x14ac:dyDescent="0.25">
      <c r="A18" s="46"/>
      <c r="B18" s="7" t="s">
        <v>58</v>
      </c>
      <c r="C18" s="27">
        <v>-1.1215189873417721</v>
      </c>
      <c r="D18" s="27">
        <v>-0.13713713713713716</v>
      </c>
      <c r="E18" s="27">
        <v>-0.10666666666666667</v>
      </c>
      <c r="F18" s="14">
        <v>0.79798948289928906</v>
      </c>
      <c r="H18" s="46"/>
      <c r="I18" s="7" t="s">
        <v>58</v>
      </c>
      <c r="J18" s="14">
        <v>0.87482509829847099</v>
      </c>
      <c r="K18" s="14">
        <v>0.78717977116079696</v>
      </c>
      <c r="L18" s="14">
        <v>2.8548665020517596</v>
      </c>
      <c r="M18" s="14">
        <v>-0.58971007087218297</v>
      </c>
      <c r="N18" s="14">
        <v>0.89852923368886595</v>
      </c>
      <c r="O18" s="14">
        <v>0.79798948289928906</v>
      </c>
    </row>
  </sheetData>
  <mergeCells count="6">
    <mergeCell ref="A3:A12"/>
    <mergeCell ref="H3:H12"/>
    <mergeCell ref="A13:A18"/>
    <mergeCell ref="H13:H18"/>
    <mergeCell ref="C1:E1"/>
    <mergeCell ref="J1:O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11E2-8C6C-49BF-8020-6EB68E5B602A}">
  <dimension ref="A1:BE18"/>
  <sheetViews>
    <sheetView zoomScale="25" zoomScaleNormal="25" workbookViewId="0">
      <selection activeCell="BI1" sqref="BI1:BU1048576"/>
    </sheetView>
  </sheetViews>
  <sheetFormatPr defaultRowHeight="15" x14ac:dyDescent="0.25"/>
  <cols>
    <col min="9" max="11" width="18.28515625" bestFit="1" customWidth="1"/>
    <col min="12" max="13" width="20" bestFit="1" customWidth="1"/>
    <col min="23" max="23" width="29.140625" bestFit="1" customWidth="1"/>
    <col min="24" max="24" width="28.7109375" bestFit="1" customWidth="1"/>
    <col min="25" max="25" width="14" bestFit="1" customWidth="1"/>
    <col min="26" max="26" width="13.5703125" bestFit="1" customWidth="1"/>
    <col min="27" max="27" width="9.42578125" bestFit="1" customWidth="1"/>
    <col min="28" max="28" width="10.28515625" bestFit="1" customWidth="1"/>
    <col min="32" max="32" width="23.140625" customWidth="1"/>
    <col min="33" max="33" width="21.7109375" customWidth="1"/>
    <col min="34" max="34" width="12.7109375" customWidth="1"/>
    <col min="35" max="35" width="11.28515625" customWidth="1"/>
    <col min="36" max="36" width="9.5703125" customWidth="1"/>
    <col min="37" max="37" width="9.28515625" customWidth="1"/>
    <col min="41" max="41" width="5.7109375" bestFit="1" customWidth="1"/>
    <col min="42" max="42" width="8.42578125" bestFit="1" customWidth="1"/>
    <col min="43" max="43" width="29.140625" bestFit="1" customWidth="1"/>
    <col min="44" max="44" width="28.7109375" bestFit="1" customWidth="1"/>
    <col min="45" max="45" width="14" bestFit="1" customWidth="1"/>
    <col min="46" max="46" width="13.5703125" bestFit="1" customWidth="1"/>
    <col min="47" max="47" width="9.42578125" bestFit="1" customWidth="1"/>
    <col min="48" max="48" width="10.28515625" bestFit="1" customWidth="1"/>
    <col min="53" max="53" width="21.85546875" bestFit="1" customWidth="1"/>
    <col min="54" max="54" width="20.42578125" bestFit="1" customWidth="1"/>
  </cols>
  <sheetData>
    <row r="1" spans="1:57" x14ac:dyDescent="0.25">
      <c r="A1" s="7"/>
      <c r="B1" s="7"/>
      <c r="C1" s="45" t="s">
        <v>67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7" t="s">
        <v>80</v>
      </c>
      <c r="O1" s="47"/>
      <c r="P1" s="47"/>
      <c r="Q1" s="47"/>
      <c r="R1" s="47"/>
      <c r="S1" s="47"/>
      <c r="U1" s="7"/>
      <c r="V1" s="7"/>
      <c r="W1" s="47" t="s">
        <v>80</v>
      </c>
      <c r="X1" s="47"/>
      <c r="Y1" s="47"/>
      <c r="Z1" s="47"/>
      <c r="AA1" s="47"/>
      <c r="AB1" s="47"/>
      <c r="AE1" t="s">
        <v>39</v>
      </c>
      <c r="AF1" t="s">
        <v>1</v>
      </c>
      <c r="AG1" t="s">
        <v>2</v>
      </c>
      <c r="AH1" t="s">
        <v>3</v>
      </c>
      <c r="AI1" t="s">
        <v>4</v>
      </c>
      <c r="AJ1" t="s">
        <v>7</v>
      </c>
      <c r="AK1" t="s">
        <v>8</v>
      </c>
      <c r="AN1" s="7"/>
      <c r="AO1" s="7"/>
      <c r="AP1" s="47" t="s">
        <v>80</v>
      </c>
      <c r="AQ1" s="47"/>
      <c r="AR1" s="47"/>
      <c r="AS1" s="47"/>
      <c r="AT1" s="47"/>
      <c r="AU1" s="47"/>
      <c r="AX1" s="7"/>
      <c r="AY1" s="7"/>
      <c r="AZ1" s="47" t="s">
        <v>80</v>
      </c>
      <c r="BA1" s="47"/>
      <c r="BB1" s="47"/>
      <c r="BC1" s="47"/>
      <c r="BD1" s="47"/>
      <c r="BE1" s="47"/>
    </row>
    <row r="2" spans="1:57" x14ac:dyDescent="0.25">
      <c r="A2" s="12"/>
      <c r="B2" s="11" t="s">
        <v>39</v>
      </c>
      <c r="C2" s="13" t="s">
        <v>40</v>
      </c>
      <c r="D2" s="13" t="s">
        <v>49</v>
      </c>
      <c r="E2" s="13" t="s">
        <v>71</v>
      </c>
      <c r="F2" s="13" t="s">
        <v>72</v>
      </c>
      <c r="G2" s="13" t="s">
        <v>73</v>
      </c>
      <c r="H2" s="13" t="s">
        <v>52</v>
      </c>
      <c r="I2" s="13" t="s">
        <v>83</v>
      </c>
      <c r="J2" s="13" t="s">
        <v>88</v>
      </c>
      <c r="K2" s="13" t="s">
        <v>82</v>
      </c>
      <c r="L2" s="13" t="s">
        <v>89</v>
      </c>
      <c r="M2" s="13" t="s">
        <v>81</v>
      </c>
      <c r="N2" s="9" t="s">
        <v>1</v>
      </c>
      <c r="O2" s="9" t="s">
        <v>2</v>
      </c>
      <c r="P2" s="9" t="s">
        <v>3</v>
      </c>
      <c r="Q2" s="9" t="s">
        <v>4</v>
      </c>
      <c r="R2" s="9" t="s">
        <v>7</v>
      </c>
      <c r="S2" s="10" t="s">
        <v>8</v>
      </c>
      <c r="U2" s="12"/>
      <c r="V2" s="11" t="s">
        <v>39</v>
      </c>
      <c r="W2" s="9" t="s">
        <v>1</v>
      </c>
      <c r="X2" s="9" t="s">
        <v>2</v>
      </c>
      <c r="Y2" s="9" t="s">
        <v>3</v>
      </c>
      <c r="Z2" s="9" t="s">
        <v>4</v>
      </c>
      <c r="AA2" s="9" t="s">
        <v>7</v>
      </c>
      <c r="AB2" s="10" t="s">
        <v>8</v>
      </c>
      <c r="AE2" t="s">
        <v>92</v>
      </c>
      <c r="AF2">
        <v>1.2415627239045701</v>
      </c>
      <c r="AG2">
        <v>1.3348602478680101</v>
      </c>
      <c r="AH2">
        <v>1.73512971173583</v>
      </c>
      <c r="AI2">
        <v>-0.40923835826764898</v>
      </c>
      <c r="AJ2">
        <v>1.03336172037375</v>
      </c>
      <c r="AK2">
        <v>1.01810616753118</v>
      </c>
      <c r="AN2" s="12"/>
      <c r="AO2" s="11" t="s">
        <v>39</v>
      </c>
      <c r="AP2" s="9" t="s">
        <v>1</v>
      </c>
      <c r="AQ2" s="9" t="s">
        <v>2</v>
      </c>
      <c r="AR2" s="9" t="s">
        <v>3</v>
      </c>
      <c r="AS2" s="9" t="s">
        <v>4</v>
      </c>
      <c r="AT2" s="9" t="s">
        <v>7</v>
      </c>
      <c r="AU2" s="10" t="s">
        <v>8</v>
      </c>
      <c r="AX2" s="12"/>
      <c r="AY2" s="11" t="s">
        <v>39</v>
      </c>
      <c r="AZ2" s="9" t="s">
        <v>1</v>
      </c>
      <c r="BA2" s="9" t="s">
        <v>2</v>
      </c>
      <c r="BB2" s="9" t="s">
        <v>3</v>
      </c>
      <c r="BC2" s="9" t="s">
        <v>4</v>
      </c>
      <c r="BD2" s="9" t="s">
        <v>7</v>
      </c>
      <c r="BE2" s="10" t="s">
        <v>8</v>
      </c>
    </row>
    <row r="3" spans="1:57" ht="15" customHeight="1" x14ac:dyDescent="0.25">
      <c r="A3" s="46" t="s">
        <v>66</v>
      </c>
      <c r="B3" s="7" t="s">
        <v>43</v>
      </c>
      <c r="C3" s="27">
        <v>0.998</v>
      </c>
      <c r="D3" s="27">
        <v>0.92500000000000004</v>
      </c>
      <c r="E3" s="27">
        <v>1</v>
      </c>
      <c r="F3" s="27">
        <v>4.7899999999999998E-2</v>
      </c>
      <c r="G3" s="27">
        <v>7.17E-2</v>
      </c>
      <c r="H3" s="8">
        <v>-7.9</v>
      </c>
      <c r="I3" s="27">
        <f>Tabela1115[[#This Row],[NICS(0)]]/$H$3</f>
        <v>1</v>
      </c>
      <c r="J3" s="27">
        <v>-9.99</v>
      </c>
      <c r="K3" s="27">
        <f>Tabela1115[[#This Row],[NICS(1)]]/$J$3</f>
        <v>1</v>
      </c>
      <c r="L3" s="27">
        <v>-30</v>
      </c>
      <c r="M3" s="27">
        <f>Tabela1115[[#This Row],[Coluna7]]/$L$3</f>
        <v>1</v>
      </c>
      <c r="N3" s="14">
        <v>1</v>
      </c>
      <c r="O3" s="14">
        <v>1</v>
      </c>
      <c r="P3" s="14">
        <v>1</v>
      </c>
      <c r="Q3" s="14">
        <v>1</v>
      </c>
      <c r="R3" s="14">
        <v>1</v>
      </c>
      <c r="S3" s="14">
        <v>1</v>
      </c>
      <c r="U3" s="46" t="s">
        <v>66</v>
      </c>
      <c r="V3" s="7" t="s">
        <v>43</v>
      </c>
      <c r="W3" s="14">
        <v>1</v>
      </c>
      <c r="X3" s="14">
        <v>1</v>
      </c>
      <c r="Y3" s="14">
        <v>1</v>
      </c>
      <c r="Z3" s="14">
        <v>1</v>
      </c>
      <c r="AA3" s="14">
        <v>1</v>
      </c>
      <c r="AB3" s="14">
        <v>1</v>
      </c>
      <c r="AE3" t="s">
        <v>43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N3" s="46" t="s">
        <v>66</v>
      </c>
      <c r="AO3" s="7"/>
      <c r="AP3" s="14"/>
      <c r="AQ3" s="14"/>
      <c r="AR3" s="14"/>
      <c r="AS3" s="14"/>
      <c r="AT3" s="14"/>
      <c r="AU3" s="14"/>
      <c r="AX3" s="46" t="s">
        <v>66</v>
      </c>
      <c r="AY3" s="7" t="s">
        <v>43</v>
      </c>
      <c r="AZ3" s="14">
        <v>1</v>
      </c>
      <c r="BA3" s="14">
        <v>1</v>
      </c>
      <c r="BB3" s="14">
        <v>1</v>
      </c>
      <c r="BC3" s="14">
        <v>1</v>
      </c>
      <c r="BD3" s="14">
        <v>1</v>
      </c>
      <c r="BE3" s="14">
        <v>1</v>
      </c>
    </row>
    <row r="4" spans="1:57" x14ac:dyDescent="0.25">
      <c r="A4" s="46"/>
      <c r="B4" s="7" t="s">
        <v>44</v>
      </c>
      <c r="C4" s="27">
        <v>0.997</v>
      </c>
      <c r="D4" s="27">
        <v>0.90700000000000003</v>
      </c>
      <c r="E4" s="27">
        <v>0.98199999999999998</v>
      </c>
      <c r="F4" s="27">
        <v>4.5499999999999999E-2</v>
      </c>
      <c r="G4" s="27">
        <v>6.7900000000000002E-2</v>
      </c>
      <c r="H4" s="8">
        <v>-7.84</v>
      </c>
      <c r="I4" s="27">
        <f>Tabela1115[[#This Row],[NICS(0)]]/$H$3</f>
        <v>0.9924050632911392</v>
      </c>
      <c r="J4" s="27">
        <v>-9.84</v>
      </c>
      <c r="K4" s="27">
        <f>Tabela1115[[#This Row],[NICS(1)]]/$J$3</f>
        <v>0.98498498498498499</v>
      </c>
      <c r="L4" s="27">
        <v>-28.87</v>
      </c>
      <c r="M4" s="27">
        <f>Tabela1115[[#This Row],[Coluna7]]/$L$3</f>
        <v>0.96233333333333337</v>
      </c>
      <c r="N4" s="14">
        <v>1.0033147447031801</v>
      </c>
      <c r="O4" s="14">
        <v>0.9460714636171601</v>
      </c>
      <c r="P4" s="14">
        <v>0.93005608261814998</v>
      </c>
      <c r="Q4" s="14">
        <v>0.92924241268461205</v>
      </c>
      <c r="R4" s="14">
        <v>0.98092907011598995</v>
      </c>
      <c r="S4" s="14">
        <v>0.96263233224350897</v>
      </c>
      <c r="U4" s="46"/>
      <c r="V4" s="7" t="s">
        <v>44</v>
      </c>
      <c r="W4" s="14">
        <v>1.0033147447031801</v>
      </c>
      <c r="X4" s="14">
        <v>0.9460714636171601</v>
      </c>
      <c r="Y4" s="14">
        <v>0.93005608261814998</v>
      </c>
      <c r="Z4" s="14">
        <v>0.92924241268461205</v>
      </c>
      <c r="AA4" s="14">
        <v>0.98092907011598995</v>
      </c>
      <c r="AB4" s="14">
        <v>0.96263233224350897</v>
      </c>
      <c r="AE4" t="s">
        <v>94</v>
      </c>
      <c r="AF4">
        <v>1.2223549481137999</v>
      </c>
      <c r="AG4">
        <v>1.28279011902186</v>
      </c>
      <c r="AH4">
        <v>2.2796642078926599</v>
      </c>
      <c r="AI4">
        <v>-0.75465953172877309</v>
      </c>
      <c r="AJ4">
        <v>1.0159562958683899</v>
      </c>
      <c r="AK4">
        <v>0.99091614706471998</v>
      </c>
      <c r="AN4" s="46"/>
      <c r="AO4" s="7"/>
      <c r="AP4" s="14"/>
      <c r="AQ4" s="14"/>
      <c r="AR4" s="14"/>
      <c r="AS4" s="14"/>
      <c r="AT4" s="14"/>
      <c r="AU4" s="14"/>
      <c r="AX4" s="46"/>
      <c r="AY4" s="7" t="s">
        <v>44</v>
      </c>
      <c r="AZ4" s="14">
        <v>1.0033147447031801</v>
      </c>
      <c r="BA4" s="14">
        <v>0.9460714636171601</v>
      </c>
      <c r="BB4" s="14">
        <v>0.93005608261814998</v>
      </c>
      <c r="BC4" s="14">
        <v>0.92924241268461205</v>
      </c>
      <c r="BD4" s="14">
        <v>0.98092907011598995</v>
      </c>
      <c r="BE4" s="14">
        <v>0.96263233224350897</v>
      </c>
    </row>
    <row r="5" spans="1:57" ht="21" x14ac:dyDescent="0.25">
      <c r="A5" s="46"/>
      <c r="B5" s="7" t="s">
        <v>63</v>
      </c>
      <c r="C5" s="27">
        <v>0.70199999999999996</v>
      </c>
      <c r="D5" s="27">
        <v>0.58699999999999997</v>
      </c>
      <c r="E5" s="27">
        <v>0.64600000000000002</v>
      </c>
      <c r="F5" s="27">
        <v>2.3E-2</v>
      </c>
      <c r="G5" s="27">
        <v>3.0599999999999999E-2</v>
      </c>
      <c r="H5" s="8">
        <v>1.75</v>
      </c>
      <c r="I5" s="27">
        <f>Tabela1115[[#This Row],[NICS(0)]]/$H$3</f>
        <v>-0.22151898734177214</v>
      </c>
      <c r="J5" s="27">
        <v>-0.74</v>
      </c>
      <c r="K5" s="27">
        <f>Tabela1115[[#This Row],[NICS(1)]]/$J$3</f>
        <v>7.407407407407407E-2</v>
      </c>
      <c r="L5" s="27">
        <v>-3.32</v>
      </c>
      <c r="M5" s="27">
        <f>Tabela1115[[#This Row],[Coluna7]]/$L$3</f>
        <v>0.11066666666666666</v>
      </c>
      <c r="N5" s="14">
        <v>1.2415627239045701</v>
      </c>
      <c r="O5" s="14">
        <v>1.3348602478680101</v>
      </c>
      <c r="P5" s="14">
        <v>1.73512971173583</v>
      </c>
      <c r="Q5" s="14">
        <v>-0.40923835826764898</v>
      </c>
      <c r="R5" s="14">
        <v>1.03336172037375</v>
      </c>
      <c r="S5" s="14">
        <v>1.01810616753118</v>
      </c>
      <c r="U5" s="46"/>
      <c r="V5" s="7" t="s">
        <v>63</v>
      </c>
      <c r="W5" s="14">
        <v>1.2415627239045701</v>
      </c>
      <c r="X5" s="14">
        <v>1.3348602478680101</v>
      </c>
      <c r="Y5" s="14">
        <v>1.73512971173583</v>
      </c>
      <c r="Z5" s="14">
        <v>-0.40923835826764898</v>
      </c>
      <c r="AA5" s="14">
        <v>1.03336172037375</v>
      </c>
      <c r="AB5" s="14">
        <v>1.01810616753118</v>
      </c>
      <c r="AE5" t="s">
        <v>47</v>
      </c>
      <c r="AF5">
        <v>1.2015932661212401</v>
      </c>
      <c r="AG5">
        <v>1.2338147537531099</v>
      </c>
      <c r="AH5">
        <v>2.23554159730792</v>
      </c>
      <c r="AI5">
        <v>-0.94512203829891406</v>
      </c>
      <c r="AJ5">
        <v>1.00481190111781</v>
      </c>
      <c r="AK5">
        <v>0.96793455496862502</v>
      </c>
      <c r="AN5" s="46"/>
      <c r="AO5" s="7" t="s">
        <v>63</v>
      </c>
      <c r="AP5" s="14">
        <v>1.2415627239045701</v>
      </c>
      <c r="AQ5" s="14">
        <v>1.3348602478680101</v>
      </c>
      <c r="AR5" s="14">
        <v>1.73512971173583</v>
      </c>
      <c r="AS5" s="14">
        <v>-0.40923835826764898</v>
      </c>
      <c r="AT5" s="14">
        <v>1.03336172037375</v>
      </c>
      <c r="AU5" s="14">
        <v>1.01810616753118</v>
      </c>
      <c r="AX5" s="46"/>
      <c r="AY5" s="7"/>
      <c r="AZ5" s="14"/>
      <c r="BA5" s="14"/>
      <c r="BB5" s="14"/>
      <c r="BC5" s="14"/>
      <c r="BD5" s="14"/>
      <c r="BE5" s="14"/>
    </row>
    <row r="6" spans="1:57" ht="18" x14ac:dyDescent="0.25">
      <c r="A6" s="46"/>
      <c r="B6" s="7" t="s">
        <v>64</v>
      </c>
      <c r="C6" s="27">
        <v>0.74299999999999999</v>
      </c>
      <c r="D6" s="27">
        <v>0.70899999999999996</v>
      </c>
      <c r="E6" s="27">
        <v>0.625</v>
      </c>
      <c r="F6" s="27">
        <v>2.2499999999999999E-2</v>
      </c>
      <c r="G6" s="27">
        <v>2.6200000000000001E-2</v>
      </c>
      <c r="H6" s="8">
        <v>-1.28</v>
      </c>
      <c r="I6" s="27">
        <f>Tabela1115[[#This Row],[NICS(0)]]/$H$3</f>
        <v>0.16202531645569621</v>
      </c>
      <c r="J6" s="27">
        <v>-5.8</v>
      </c>
      <c r="K6" s="27">
        <f>Tabela1115[[#This Row],[NICS(1)]]/$J$3</f>
        <v>0.5805805805805806</v>
      </c>
      <c r="L6" s="27">
        <v>-15.05</v>
      </c>
      <c r="M6" s="27">
        <f>Tabela1115[[#This Row],[Coluna7]]/$L$3</f>
        <v>0.50166666666666671</v>
      </c>
      <c r="N6" s="14">
        <v>0.81893964196884195</v>
      </c>
      <c r="O6" s="14">
        <v>0.70289724501196704</v>
      </c>
      <c r="P6" s="14">
        <v>2.87725792535762</v>
      </c>
      <c r="Q6" s="14">
        <v>2.59299157106219</v>
      </c>
      <c r="R6" s="14">
        <v>0.88848260350847896</v>
      </c>
      <c r="S6" s="14">
        <v>0.87368561054965599</v>
      </c>
      <c r="U6" s="46"/>
      <c r="V6" s="7" t="s">
        <v>64</v>
      </c>
      <c r="W6" s="14">
        <v>0.81893964196884195</v>
      </c>
      <c r="X6" s="14">
        <v>0.70289724501196704</v>
      </c>
      <c r="Y6" s="14">
        <v>2.87725792535762</v>
      </c>
      <c r="Z6" s="14">
        <v>2.59299157106219</v>
      </c>
      <c r="AA6" s="14">
        <v>0.88848260350847896</v>
      </c>
      <c r="AB6" s="14">
        <v>0.87368561054965599</v>
      </c>
      <c r="AE6" t="s">
        <v>44</v>
      </c>
      <c r="AF6">
        <v>1.0033147447031801</v>
      </c>
      <c r="AG6">
        <v>0.9460714636171601</v>
      </c>
      <c r="AH6">
        <v>0.93005608261814998</v>
      </c>
      <c r="AI6">
        <v>0.92924241268461205</v>
      </c>
      <c r="AJ6">
        <v>0.98092907011598995</v>
      </c>
      <c r="AK6">
        <v>0.96263233224350897</v>
      </c>
      <c r="AN6" s="46"/>
      <c r="AO6" s="7" t="s">
        <v>64</v>
      </c>
      <c r="AP6" s="14">
        <v>0.81893964196884195</v>
      </c>
      <c r="AQ6" s="14">
        <v>0.70289724501196704</v>
      </c>
      <c r="AR6" s="14">
        <v>2.87725792535762</v>
      </c>
      <c r="AS6" s="14">
        <v>2.59299157106219</v>
      </c>
      <c r="AT6" s="14">
        <v>0.88848260350847896</v>
      </c>
      <c r="AU6" s="14">
        <v>0.87368561054965599</v>
      </c>
      <c r="AX6" s="46"/>
      <c r="AY6" s="7"/>
      <c r="AZ6" s="14"/>
      <c r="BA6" s="14"/>
      <c r="BB6" s="14"/>
      <c r="BC6" s="14"/>
      <c r="BD6" s="14"/>
      <c r="BE6" s="14"/>
    </row>
    <row r="7" spans="1:57" x14ac:dyDescent="0.25">
      <c r="A7" s="46"/>
      <c r="B7" s="7" t="s">
        <v>45</v>
      </c>
      <c r="C7" s="27">
        <v>0.99199999999999999</v>
      </c>
      <c r="D7" s="27">
        <v>0.89500000000000002</v>
      </c>
      <c r="E7" s="27">
        <v>0.86899999999999999</v>
      </c>
      <c r="F7" s="27">
        <v>4.0399999999999998E-2</v>
      </c>
      <c r="G7" s="27">
        <v>5.96E-2</v>
      </c>
      <c r="H7" s="8">
        <v>-7.65</v>
      </c>
      <c r="I7" s="27">
        <f>Tabela1115[[#This Row],[NICS(0)]]/$H$3</f>
        <v>0.96835443037974689</v>
      </c>
      <c r="J7" s="27">
        <v>-8.68</v>
      </c>
      <c r="K7" s="27">
        <f>Tabela1115[[#This Row],[NICS(1)]]/$J$3</f>
        <v>0.86886886886886883</v>
      </c>
      <c r="L7" s="27">
        <v>-25.18</v>
      </c>
      <c r="M7" s="27">
        <f>Tabela1115[[#This Row],[Coluna7]]/$L$3</f>
        <v>0.83933333333333338</v>
      </c>
      <c r="N7" s="14">
        <v>1.03521902173937</v>
      </c>
      <c r="O7" s="14">
        <v>1.0128949438805099</v>
      </c>
      <c r="P7" s="14">
        <v>1.5514782076829801</v>
      </c>
      <c r="Q7" s="14">
        <v>1.3739065874870999</v>
      </c>
      <c r="R7" s="14">
        <v>0.975662579329867</v>
      </c>
      <c r="S7" s="14">
        <v>0.95540852524362196</v>
      </c>
      <c r="U7" s="46"/>
      <c r="V7" s="7" t="s">
        <v>45</v>
      </c>
      <c r="W7" s="14">
        <v>1.03521902173937</v>
      </c>
      <c r="X7" s="14">
        <v>1.0128949438805099</v>
      </c>
      <c r="Y7" s="14">
        <v>1.5514782076829801</v>
      </c>
      <c r="Z7" s="14">
        <v>1.3739065874870999</v>
      </c>
      <c r="AA7" s="14">
        <v>0.975662579329867</v>
      </c>
      <c r="AB7" s="14">
        <v>0.95540852524362196</v>
      </c>
      <c r="AE7" t="s">
        <v>45</v>
      </c>
      <c r="AF7">
        <v>1.03521902173937</v>
      </c>
      <c r="AG7">
        <v>1.0128949438805099</v>
      </c>
      <c r="AH7">
        <v>1.5514782076829801</v>
      </c>
      <c r="AI7">
        <v>1.3739065874870999</v>
      </c>
      <c r="AJ7">
        <v>0.975662579329867</v>
      </c>
      <c r="AK7">
        <v>0.95540852524362196</v>
      </c>
      <c r="AN7" s="46"/>
      <c r="AO7" s="7"/>
      <c r="AP7" s="14"/>
      <c r="AQ7" s="14"/>
      <c r="AR7" s="14"/>
      <c r="AS7" s="14"/>
      <c r="AT7" s="14"/>
      <c r="AU7" s="14"/>
      <c r="AX7" s="46"/>
      <c r="AY7" s="7" t="s">
        <v>45</v>
      </c>
      <c r="AZ7" s="14">
        <v>1.03521902173937</v>
      </c>
      <c r="BA7" s="14">
        <v>1.0128949438805099</v>
      </c>
      <c r="BB7" s="14">
        <v>1.5514782076829801</v>
      </c>
      <c r="BC7" s="14">
        <v>1.3739065874870999</v>
      </c>
      <c r="BD7" s="14">
        <v>0.975662579329867</v>
      </c>
      <c r="BE7" s="14">
        <v>0.95540852524362196</v>
      </c>
    </row>
    <row r="8" spans="1:57" ht="21" x14ac:dyDescent="0.25">
      <c r="A8" s="46"/>
      <c r="B8" s="7" t="s">
        <v>84</v>
      </c>
      <c r="C8" s="27">
        <v>0.72399999999999998</v>
      </c>
      <c r="D8" s="27">
        <v>0.59299999999999997</v>
      </c>
      <c r="E8" s="27">
        <v>0.67500000000000004</v>
      </c>
      <c r="F8" s="27">
        <v>2.46E-2</v>
      </c>
      <c r="G8" s="27">
        <v>3.3599999999999998E-2</v>
      </c>
      <c r="H8" s="8">
        <v>-1.73</v>
      </c>
      <c r="I8" s="27">
        <f>Tabela1115[[#This Row],[NICS(0)]]/$H$3</f>
        <v>0.2189873417721519</v>
      </c>
      <c r="J8" s="27">
        <v>-3.59</v>
      </c>
      <c r="K8" s="27">
        <f>Tabela1115[[#This Row],[NICS(1)]]/$J$3</f>
        <v>0.35935935935935936</v>
      </c>
      <c r="L8" s="27">
        <v>-11.7</v>
      </c>
      <c r="M8" s="27">
        <f>Tabela1115[[#This Row],[Coluna7]]/$L$3</f>
        <v>0.38999999999999996</v>
      </c>
      <c r="N8" s="14">
        <v>1.2223549481137999</v>
      </c>
      <c r="O8" s="14">
        <v>1.28279011902186</v>
      </c>
      <c r="P8" s="14">
        <v>2.2796642078926599</v>
      </c>
      <c r="Q8" s="14">
        <v>-0.75465953172877309</v>
      </c>
      <c r="R8" s="14">
        <v>1.0159562958683899</v>
      </c>
      <c r="S8" s="14">
        <v>0.99091614706471998</v>
      </c>
      <c r="U8" s="46"/>
      <c r="V8" s="7" t="s">
        <v>84</v>
      </c>
      <c r="W8" s="14">
        <v>1.2223549481137999</v>
      </c>
      <c r="X8" s="14">
        <v>1.28279011902186</v>
      </c>
      <c r="Y8" s="14">
        <v>2.2796642078926599</v>
      </c>
      <c r="Z8" s="14">
        <v>-0.75465953172877309</v>
      </c>
      <c r="AA8" s="14">
        <v>1.0159562958683899</v>
      </c>
      <c r="AB8" s="14">
        <v>0.99091614706471998</v>
      </c>
      <c r="AE8" t="s">
        <v>46</v>
      </c>
      <c r="AF8">
        <v>1.02195058573774</v>
      </c>
      <c r="AG8">
        <v>0.98369869294585499</v>
      </c>
      <c r="AH8">
        <v>1.4547242839722001</v>
      </c>
      <c r="AI8">
        <v>1.05887943438793</v>
      </c>
      <c r="AJ8">
        <v>0.97803279794977993</v>
      </c>
      <c r="AK8">
        <v>0.95398123279159708</v>
      </c>
      <c r="AN8" s="46"/>
      <c r="AO8" s="7" t="s">
        <v>84</v>
      </c>
      <c r="AP8" s="14">
        <v>1.2223549481137999</v>
      </c>
      <c r="AQ8" s="14">
        <v>1.28279011902186</v>
      </c>
      <c r="AR8" s="14">
        <v>2.2796642078926599</v>
      </c>
      <c r="AS8" s="14">
        <v>-0.75465953172877309</v>
      </c>
      <c r="AT8" s="14">
        <v>1.0159562958683899</v>
      </c>
      <c r="AU8" s="14">
        <v>0.99091614706471998</v>
      </c>
      <c r="AX8" s="46"/>
      <c r="AY8" s="7"/>
      <c r="AZ8" s="14"/>
      <c r="BA8" s="14"/>
      <c r="BB8" s="14"/>
      <c r="BC8" s="14"/>
      <c r="BD8" s="14"/>
      <c r="BE8" s="14"/>
    </row>
    <row r="9" spans="1:57" ht="18" x14ac:dyDescent="0.25">
      <c r="A9" s="46"/>
      <c r="B9" s="7" t="s">
        <v>85</v>
      </c>
      <c r="C9" s="27">
        <v>0.44800000000000001</v>
      </c>
      <c r="D9" s="27">
        <v>0.437</v>
      </c>
      <c r="E9" s="27">
        <v>0.44800000000000001</v>
      </c>
      <c r="F9" s="27">
        <v>1.32E-2</v>
      </c>
      <c r="G9" s="27">
        <v>1.03E-2</v>
      </c>
      <c r="H9" s="8">
        <v>4.67</v>
      </c>
      <c r="I9" s="27">
        <f>Tabela1115[[#This Row],[NICS(0)]]/$H$3</f>
        <v>-0.59113924050632904</v>
      </c>
      <c r="J9" s="27">
        <v>-1.79</v>
      </c>
      <c r="K9" s="27">
        <f>Tabela1115[[#This Row],[NICS(1)]]/$J$3</f>
        <v>0.17917917917917917</v>
      </c>
      <c r="L9" s="27">
        <v>-4.2699999999999996</v>
      </c>
      <c r="M9" s="27">
        <f>Tabela1115[[#This Row],[Coluna7]]/$L$3</f>
        <v>0.14233333333333331</v>
      </c>
      <c r="N9" s="14">
        <v>0.78221422514324201</v>
      </c>
      <c r="O9" s="14">
        <v>0.62660383410965403</v>
      </c>
      <c r="P9" s="14">
        <v>2.2818572155560002</v>
      </c>
      <c r="Q9" s="14">
        <v>2.0353251527459699</v>
      </c>
      <c r="R9" s="14">
        <v>0.83350703025899708</v>
      </c>
      <c r="S9" s="14">
        <v>0.82168968399070097</v>
      </c>
      <c r="U9" s="46"/>
      <c r="V9" s="7" t="s">
        <v>85</v>
      </c>
      <c r="W9" s="14">
        <v>0.78221422514324201</v>
      </c>
      <c r="X9" s="14">
        <v>0.62660383410965403</v>
      </c>
      <c r="Y9" s="14">
        <v>2.2818572155560002</v>
      </c>
      <c r="Z9" s="14">
        <v>2.0353251527459699</v>
      </c>
      <c r="AA9" s="14">
        <v>0.83350703025899708</v>
      </c>
      <c r="AB9" s="14">
        <v>0.82168968399070097</v>
      </c>
      <c r="AE9" t="s">
        <v>55</v>
      </c>
      <c r="AF9">
        <v>1.00984403294164</v>
      </c>
      <c r="AG9">
        <v>1.0808896484089099</v>
      </c>
      <c r="AH9">
        <v>2.5194761790812201</v>
      </c>
      <c r="AI9">
        <v>1.7472309620915498</v>
      </c>
      <c r="AJ9">
        <v>0.96674547544322498</v>
      </c>
      <c r="AK9">
        <v>0.947533602910962</v>
      </c>
      <c r="AN9" s="46"/>
      <c r="AO9" s="7" t="s">
        <v>85</v>
      </c>
      <c r="AP9" s="14">
        <v>0.78221422514324201</v>
      </c>
      <c r="AQ9" s="14">
        <v>0.62660383410965403</v>
      </c>
      <c r="AR9" s="14">
        <v>2.2818572155560002</v>
      </c>
      <c r="AS9" s="14">
        <v>2.0353251527459699</v>
      </c>
      <c r="AT9" s="14">
        <v>0.83350703025899708</v>
      </c>
      <c r="AU9" s="14">
        <v>0.82168968399070097</v>
      </c>
      <c r="AX9" s="46"/>
      <c r="AY9" s="7"/>
      <c r="AZ9" s="14"/>
      <c r="BA9" s="14"/>
      <c r="BB9" s="14"/>
      <c r="BC9" s="14"/>
      <c r="BD9" s="14"/>
      <c r="BE9" s="14"/>
    </row>
    <row r="10" spans="1:57" x14ac:dyDescent="0.25">
      <c r="A10" s="46"/>
      <c r="B10" s="7" t="s">
        <v>46</v>
      </c>
      <c r="C10" s="27">
        <v>0.997</v>
      </c>
      <c r="D10" s="27">
        <v>0.91700000000000004</v>
      </c>
      <c r="E10" s="27">
        <v>0.95499999999999996</v>
      </c>
      <c r="F10" s="27">
        <v>4.19E-2</v>
      </c>
      <c r="G10" s="27">
        <v>6.2199999999999998E-2</v>
      </c>
      <c r="H10" s="8">
        <v>-8.81</v>
      </c>
      <c r="I10" s="27">
        <f>Tabela1115[[#This Row],[NICS(0)]]/$H$3</f>
        <v>1.1151898734177215</v>
      </c>
      <c r="J10" s="27">
        <v>-9.44</v>
      </c>
      <c r="K10" s="27">
        <f>Tabela1115[[#This Row],[NICS(1)]]/$J$3</f>
        <v>0.94494494494494485</v>
      </c>
      <c r="L10" s="27">
        <v>-27.21</v>
      </c>
      <c r="M10" s="27">
        <f>Tabela1115[[#This Row],[Coluna7]]/$L$3</f>
        <v>0.90700000000000003</v>
      </c>
      <c r="N10" s="14">
        <v>1.02195058573774</v>
      </c>
      <c r="O10" s="14">
        <v>0.98369869294585499</v>
      </c>
      <c r="P10" s="14">
        <v>1.4547242839722001</v>
      </c>
      <c r="Q10" s="14">
        <v>1.05887943438793</v>
      </c>
      <c r="R10" s="14">
        <v>0.97803279794977993</v>
      </c>
      <c r="S10" s="14">
        <v>0.95398123279159708</v>
      </c>
      <c r="U10" s="46"/>
      <c r="V10" s="7" t="s">
        <v>46</v>
      </c>
      <c r="W10" s="14">
        <v>1.02195058573774</v>
      </c>
      <c r="X10" s="14">
        <v>0.98369869294585499</v>
      </c>
      <c r="Y10" s="14">
        <v>1.4547242839722001</v>
      </c>
      <c r="Z10" s="14">
        <v>1.05887943438793</v>
      </c>
      <c r="AA10" s="14">
        <v>0.97803279794977993</v>
      </c>
      <c r="AB10" s="14">
        <v>0.95398123279159708</v>
      </c>
      <c r="AE10" t="s">
        <v>57</v>
      </c>
      <c r="AF10">
        <v>0.97706721764549298</v>
      </c>
      <c r="AG10">
        <v>1.0254662373516599</v>
      </c>
      <c r="AH10">
        <v>2.5256262489363199</v>
      </c>
      <c r="AI10">
        <v>1.0880822085286901</v>
      </c>
      <c r="AJ10">
        <v>0.96186211044742298</v>
      </c>
      <c r="AK10">
        <v>0.94043088748210901</v>
      </c>
      <c r="AN10" s="46"/>
      <c r="AO10" s="7"/>
      <c r="AP10" s="14"/>
      <c r="AQ10" s="14"/>
      <c r="AR10" s="14"/>
      <c r="AS10" s="14"/>
      <c r="AT10" s="14"/>
      <c r="AU10" s="14"/>
      <c r="AX10" s="46"/>
      <c r="AY10" s="7" t="s">
        <v>46</v>
      </c>
      <c r="AZ10" s="14">
        <v>1.02195058573774</v>
      </c>
      <c r="BA10" s="14">
        <v>0.98369869294585499</v>
      </c>
      <c r="BB10" s="14">
        <v>1.4547242839722001</v>
      </c>
      <c r="BC10" s="14">
        <v>1.05887943438793</v>
      </c>
      <c r="BD10" s="14">
        <v>0.97803279794977993</v>
      </c>
      <c r="BE10" s="14">
        <v>0.95398123279159708</v>
      </c>
    </row>
    <row r="11" spans="1:57" x14ac:dyDescent="0.25">
      <c r="A11" s="46"/>
      <c r="B11" s="7" t="s">
        <v>47</v>
      </c>
      <c r="C11" s="27">
        <v>0.73599999999999999</v>
      </c>
      <c r="D11" s="27">
        <v>0.53700000000000003</v>
      </c>
      <c r="E11" s="27">
        <v>0.753</v>
      </c>
      <c r="F11" s="27">
        <v>2.7199999999999998E-2</v>
      </c>
      <c r="G11" s="27">
        <v>3.7900000000000003E-2</v>
      </c>
      <c r="H11" s="8">
        <v>-3.93</v>
      </c>
      <c r="I11" s="27">
        <f>Tabela1115[[#This Row],[NICS(0)]]/$H$3</f>
        <v>0.49746835443037973</v>
      </c>
      <c r="J11" s="27">
        <v>-5.65</v>
      </c>
      <c r="K11" s="27">
        <f>Tabela1115[[#This Row],[NICS(1)]]/$J$3</f>
        <v>0.56556556556556559</v>
      </c>
      <c r="L11" s="27">
        <v>-18.170000000000002</v>
      </c>
      <c r="M11" s="27">
        <f>Tabela1115[[#This Row],[Coluna7]]/$L$3</f>
        <v>0.60566666666666669</v>
      </c>
      <c r="N11" s="14">
        <v>1.2015932661212401</v>
      </c>
      <c r="O11" s="14">
        <v>1.2338147537531099</v>
      </c>
      <c r="P11" s="14">
        <v>2.23554159730792</v>
      </c>
      <c r="Q11" s="14">
        <v>-0.94512203829891406</v>
      </c>
      <c r="R11" s="14">
        <v>1.00481190111781</v>
      </c>
      <c r="S11" s="14">
        <v>0.96793455496862502</v>
      </c>
      <c r="U11" s="46"/>
      <c r="V11" s="7" t="s">
        <v>47</v>
      </c>
      <c r="W11" s="14">
        <v>1.2015932661212401</v>
      </c>
      <c r="X11" s="14">
        <v>1.2338147537531099</v>
      </c>
      <c r="Y11" s="14">
        <v>2.23554159730792</v>
      </c>
      <c r="Z11" s="14">
        <v>-0.94512203829891406</v>
      </c>
      <c r="AA11" s="14">
        <v>1.00481190111781</v>
      </c>
      <c r="AB11" s="14">
        <v>0.96793455496862502</v>
      </c>
      <c r="AE11" t="s">
        <v>53</v>
      </c>
      <c r="AF11">
        <v>0.96183348772569399</v>
      </c>
      <c r="AG11">
        <v>1.01844577794024</v>
      </c>
      <c r="AH11">
        <v>0.901746046508063</v>
      </c>
      <c r="AI11">
        <v>0.89270406970810601</v>
      </c>
      <c r="AJ11">
        <v>0.94459564348259306</v>
      </c>
      <c r="AK11">
        <v>0.93707010010898206</v>
      </c>
      <c r="AN11" s="46"/>
      <c r="AO11" s="7"/>
      <c r="AP11" s="14"/>
      <c r="AQ11" s="14"/>
      <c r="AR11" s="14"/>
      <c r="AS11" s="14"/>
      <c r="AT11" s="14"/>
      <c r="AU11" s="14"/>
      <c r="AX11" s="46"/>
      <c r="AY11" s="7"/>
      <c r="AZ11" s="14"/>
      <c r="BA11" s="14"/>
      <c r="BB11" s="14"/>
      <c r="BC11" s="14"/>
      <c r="BD11" s="14"/>
      <c r="BE11" s="14"/>
    </row>
    <row r="12" spans="1:57" x14ac:dyDescent="0.25">
      <c r="A12" s="46"/>
      <c r="B12" s="7" t="s">
        <v>48</v>
      </c>
      <c r="C12" s="27">
        <v>-0.1</v>
      </c>
      <c r="D12" s="27">
        <v>-7.5999999999999998E-2</v>
      </c>
      <c r="E12" s="27">
        <v>0.27800000000000002</v>
      </c>
      <c r="F12" s="27">
        <v>7.0000000000000001E-3</v>
      </c>
      <c r="G12" s="27">
        <v>1E-4</v>
      </c>
      <c r="H12" s="8">
        <v>13.86</v>
      </c>
      <c r="I12" s="27">
        <f>Tabela1115[[#This Row],[NICS(0)]]/$H$3</f>
        <v>-1.7544303797468352</v>
      </c>
      <c r="J12" s="27">
        <v>3.91</v>
      </c>
      <c r="K12" s="27">
        <f>Tabela1115[[#This Row],[NICS(1)]]/$J$3</f>
        <v>-0.3913913913913914</v>
      </c>
      <c r="L12" s="27">
        <v>9.36</v>
      </c>
      <c r="M12" s="27">
        <f>Tabela1115[[#This Row],[Coluna7]]/$L$3</f>
        <v>-0.312</v>
      </c>
      <c r="N12" s="14">
        <v>0.75374966280618194</v>
      </c>
      <c r="O12" s="14">
        <v>0.55936173155264302</v>
      </c>
      <c r="P12" s="14">
        <v>1.65588083775957</v>
      </c>
      <c r="Q12" s="14">
        <v>1.5611114536234201</v>
      </c>
      <c r="R12" s="14">
        <v>0.78894533211844697</v>
      </c>
      <c r="S12" s="14">
        <v>0.76788333918940099</v>
      </c>
      <c r="U12" s="46"/>
      <c r="V12" s="7" t="s">
        <v>48</v>
      </c>
      <c r="W12" s="14">
        <v>0.75374966280618194</v>
      </c>
      <c r="X12" s="14">
        <v>0.55936173155264302</v>
      </c>
      <c r="Y12" s="14">
        <v>1.65588083775957</v>
      </c>
      <c r="Z12" s="14">
        <v>1.5611114536234201</v>
      </c>
      <c r="AA12" s="14">
        <v>0.78894533211844697</v>
      </c>
      <c r="AB12" s="14">
        <v>0.76788333918940099</v>
      </c>
      <c r="AE12" t="s">
        <v>54</v>
      </c>
      <c r="AF12">
        <v>1.0316505091345101</v>
      </c>
      <c r="AG12">
        <v>1.0828126138730101</v>
      </c>
      <c r="AH12">
        <v>1.2628671136974801</v>
      </c>
      <c r="AI12">
        <v>1.25605193136889</v>
      </c>
      <c r="AJ12">
        <v>0.91383044400904401</v>
      </c>
      <c r="AK12">
        <v>0.8756032246089831</v>
      </c>
      <c r="AN12" s="46"/>
      <c r="AO12" s="7" t="s">
        <v>48</v>
      </c>
      <c r="AP12" s="14">
        <v>0.75374966280618194</v>
      </c>
      <c r="AQ12" s="14">
        <v>0.55936173155264302</v>
      </c>
      <c r="AR12" s="14">
        <v>1.65588083775957</v>
      </c>
      <c r="AS12" s="14">
        <v>1.5611114536234201</v>
      </c>
      <c r="AT12" s="14">
        <v>0.78894533211844697</v>
      </c>
      <c r="AU12" s="14">
        <v>0.76788333918940099</v>
      </c>
      <c r="AX12" s="46"/>
      <c r="AY12" s="7"/>
      <c r="AZ12" s="14"/>
      <c r="BA12" s="14"/>
      <c r="BB12" s="14"/>
      <c r="BC12" s="14"/>
      <c r="BD12" s="14"/>
      <c r="BE12" s="14"/>
    </row>
    <row r="13" spans="1:57" ht="15" customHeight="1" x14ac:dyDescent="0.25">
      <c r="A13" s="46" t="s">
        <v>65</v>
      </c>
      <c r="B13" s="7" t="s">
        <v>53</v>
      </c>
      <c r="C13" s="27">
        <v>0.997</v>
      </c>
      <c r="D13" s="27">
        <v>0.89</v>
      </c>
      <c r="E13" s="27">
        <v>0.97599999999999998</v>
      </c>
      <c r="F13" s="27">
        <v>4.3400000000000001E-2</v>
      </c>
      <c r="G13" s="27">
        <v>6.4399999999999999E-2</v>
      </c>
      <c r="H13" s="8">
        <v>-7.8</v>
      </c>
      <c r="I13" s="27">
        <f>Tabela1115[[#This Row],[NICS(0)]]/$H$3</f>
        <v>0.98734177215189867</v>
      </c>
      <c r="J13" s="27">
        <v>-9.5500000000000007</v>
      </c>
      <c r="K13" s="27">
        <f>Tabela1115[[#This Row],[NICS(1)]]/$J$3</f>
        <v>0.95595595595595606</v>
      </c>
      <c r="L13" s="27">
        <v>-27.33</v>
      </c>
      <c r="M13" s="27">
        <f>Tabela1115[[#This Row],[Coluna7]]/$L$3</f>
        <v>0.91099999999999992</v>
      </c>
      <c r="N13" s="14">
        <v>0.96183348772569399</v>
      </c>
      <c r="O13" s="14">
        <v>1.01844577794024</v>
      </c>
      <c r="P13" s="14">
        <v>0.901746046508063</v>
      </c>
      <c r="Q13" s="14">
        <v>0.89270406970810601</v>
      </c>
      <c r="R13" s="14">
        <v>0.94459564348259306</v>
      </c>
      <c r="S13" s="14">
        <v>0.93707010010898206</v>
      </c>
      <c r="U13" s="46" t="s">
        <v>65</v>
      </c>
      <c r="V13" s="7" t="s">
        <v>53</v>
      </c>
      <c r="W13" s="14">
        <v>0.96183348772569399</v>
      </c>
      <c r="X13" s="14">
        <v>1.01844577794024</v>
      </c>
      <c r="Y13" s="14">
        <v>0.901746046508063</v>
      </c>
      <c r="Z13" s="14">
        <v>0.89270406970810601</v>
      </c>
      <c r="AA13" s="14">
        <v>0.94459564348259306</v>
      </c>
      <c r="AB13" s="14">
        <v>0.93707010010898206</v>
      </c>
      <c r="AE13" t="s">
        <v>93</v>
      </c>
      <c r="AF13">
        <v>0.81893964196884195</v>
      </c>
      <c r="AG13">
        <v>0.70289724501196704</v>
      </c>
      <c r="AH13">
        <v>2.87725792535762</v>
      </c>
      <c r="AI13">
        <v>2.59299157106219</v>
      </c>
      <c r="AJ13">
        <v>0.88848260350847896</v>
      </c>
      <c r="AK13">
        <v>0.87368561054965599</v>
      </c>
      <c r="AN13" s="46"/>
      <c r="AO13" s="7"/>
      <c r="AP13" s="14"/>
      <c r="AQ13" s="14"/>
      <c r="AR13" s="14"/>
      <c r="AS13" s="14"/>
      <c r="AT13" s="14"/>
      <c r="AU13" s="14"/>
      <c r="AX13" s="46" t="s">
        <v>65</v>
      </c>
      <c r="AY13" s="7" t="s">
        <v>53</v>
      </c>
      <c r="AZ13" s="14">
        <v>0.96183348772569399</v>
      </c>
      <c r="BA13" s="14">
        <v>1.01844577794024</v>
      </c>
      <c r="BB13" s="14">
        <v>0.901746046508063</v>
      </c>
      <c r="BC13" s="14">
        <v>0.89270406970810601</v>
      </c>
      <c r="BD13" s="14">
        <v>0.94459564348259306</v>
      </c>
      <c r="BE13" s="14">
        <v>0.93707010010898206</v>
      </c>
    </row>
    <row r="14" spans="1:57" x14ac:dyDescent="0.25">
      <c r="A14" s="46"/>
      <c r="B14" s="7" t="s">
        <v>54</v>
      </c>
      <c r="C14" s="27">
        <v>6.0000000000000001E-3</v>
      </c>
      <c r="D14" s="27">
        <v>8.5000000000000006E-2</v>
      </c>
      <c r="E14" s="27">
        <v>0.41799999999999998</v>
      </c>
      <c r="F14" s="27">
        <v>8.9999999999999993E-3</v>
      </c>
      <c r="G14" s="27">
        <v>0.01</v>
      </c>
      <c r="H14" s="8">
        <v>2.62</v>
      </c>
      <c r="I14" s="27">
        <f>Tabela1115[[#This Row],[NICS(0)]]/$H$3</f>
        <v>-0.33164556962025316</v>
      </c>
      <c r="J14" s="27">
        <v>-1.37</v>
      </c>
      <c r="K14" s="27">
        <f>Tabela1115[[#This Row],[NICS(1)]]/$J$3</f>
        <v>0.13713713713713716</v>
      </c>
      <c r="L14" s="27">
        <v>-1.36</v>
      </c>
      <c r="M14" s="27">
        <f>Tabela1115[[#This Row],[Coluna7]]/$L$3</f>
        <v>4.5333333333333337E-2</v>
      </c>
      <c r="N14" s="14">
        <v>1.0316505091345101</v>
      </c>
      <c r="O14" s="14">
        <v>1.0828126138730101</v>
      </c>
      <c r="P14" s="14">
        <v>1.2628671136974801</v>
      </c>
      <c r="Q14" s="14">
        <v>1.25605193136889</v>
      </c>
      <c r="R14" s="14">
        <v>0.91383044400904401</v>
      </c>
      <c r="S14" s="14">
        <v>0.8756032246089831</v>
      </c>
      <c r="U14" s="46"/>
      <c r="V14" s="7" t="s">
        <v>54</v>
      </c>
      <c r="W14" s="14">
        <v>1.0316505091345101</v>
      </c>
      <c r="X14" s="14">
        <v>1.0828126138730101</v>
      </c>
      <c r="Y14" s="14">
        <v>1.2628671136974801</v>
      </c>
      <c r="Z14" s="14">
        <v>1.25605193136889</v>
      </c>
      <c r="AA14" s="14">
        <v>0.91383044400904401</v>
      </c>
      <c r="AB14" s="14">
        <v>0.8756032246089831</v>
      </c>
      <c r="AE14" t="s">
        <v>56</v>
      </c>
      <c r="AF14">
        <v>0.94000269304711903</v>
      </c>
      <c r="AG14">
        <v>0.92262230284152391</v>
      </c>
      <c r="AH14">
        <v>2.7471339556375698</v>
      </c>
      <c r="AI14">
        <v>0.20312367748158</v>
      </c>
      <c r="AJ14">
        <v>0.90480217408997698</v>
      </c>
      <c r="AK14">
        <v>0.83623059805340305</v>
      </c>
      <c r="AN14" s="46"/>
      <c r="AO14" s="7"/>
      <c r="AP14" s="14"/>
      <c r="AQ14" s="14"/>
      <c r="AR14" s="14"/>
      <c r="AS14" s="14"/>
      <c r="AT14" s="14"/>
      <c r="AU14" s="14"/>
      <c r="AX14" s="46"/>
      <c r="AY14" s="7" t="s">
        <v>54</v>
      </c>
      <c r="AZ14" s="14">
        <v>1.0316505091345101</v>
      </c>
      <c r="BA14" s="14">
        <v>1.0828126138730101</v>
      </c>
      <c r="BB14" s="14">
        <v>1.2628671136974801</v>
      </c>
      <c r="BC14" s="14">
        <v>1.25605193136889</v>
      </c>
      <c r="BD14" s="14">
        <v>0.91383044400904401</v>
      </c>
      <c r="BE14" s="14">
        <v>0.8756032246089831</v>
      </c>
    </row>
    <row r="15" spans="1:57" x14ac:dyDescent="0.25">
      <c r="A15" s="46"/>
      <c r="B15" s="7" t="s">
        <v>55</v>
      </c>
      <c r="C15" s="27">
        <v>0.995</v>
      </c>
      <c r="D15" s="27">
        <v>0.871</v>
      </c>
      <c r="E15" s="27">
        <v>0.85099999999999998</v>
      </c>
      <c r="F15" s="27">
        <v>3.6200000000000003E-2</v>
      </c>
      <c r="G15" s="27">
        <v>5.3100000000000001E-2</v>
      </c>
      <c r="H15" s="8">
        <v>-8.1199999999999992</v>
      </c>
      <c r="I15" s="27">
        <f>Tabela1115[[#This Row],[NICS(0)]]/$H$3</f>
        <v>1.0278481012658227</v>
      </c>
      <c r="J15" s="27">
        <v>-8.24</v>
      </c>
      <c r="K15" s="27">
        <f>Tabela1115[[#This Row],[NICS(1)]]/$J$3</f>
        <v>0.82482482482482478</v>
      </c>
      <c r="L15" s="27">
        <v>-22.64</v>
      </c>
      <c r="M15" s="27">
        <f>Tabela1115[[#This Row],[Coluna7]]/$L$3</f>
        <v>0.75466666666666671</v>
      </c>
      <c r="N15" s="14">
        <v>1.00984403294164</v>
      </c>
      <c r="O15" s="14">
        <v>1.0808896484089099</v>
      </c>
      <c r="P15" s="14">
        <v>2.5194761790812201</v>
      </c>
      <c r="Q15" s="14">
        <v>1.7472309620915498</v>
      </c>
      <c r="R15" s="14">
        <v>0.96674547544322498</v>
      </c>
      <c r="S15" s="14">
        <v>0.947533602910962</v>
      </c>
      <c r="U15" s="46"/>
      <c r="V15" s="7" t="s">
        <v>55</v>
      </c>
      <c r="W15" s="14">
        <v>1.00984403294164</v>
      </c>
      <c r="X15" s="14">
        <v>1.0808896484089099</v>
      </c>
      <c r="Y15" s="14">
        <v>2.5194761790812201</v>
      </c>
      <c r="Z15" s="14">
        <v>1.7472309620915498</v>
      </c>
      <c r="AA15" s="14">
        <v>0.96674547544322498</v>
      </c>
      <c r="AB15" s="14">
        <v>0.947533602910962</v>
      </c>
      <c r="AE15" t="s">
        <v>95</v>
      </c>
      <c r="AF15">
        <v>0.78221422514324201</v>
      </c>
      <c r="AG15">
        <v>0.62660383410965403</v>
      </c>
      <c r="AH15">
        <v>2.2818572155560002</v>
      </c>
      <c r="AI15">
        <v>2.0353251527459699</v>
      </c>
      <c r="AJ15">
        <v>0.83350703025899708</v>
      </c>
      <c r="AK15">
        <v>0.82168968399070097</v>
      </c>
      <c r="AN15" s="46"/>
      <c r="AO15" s="7"/>
      <c r="AP15" s="14"/>
      <c r="AQ15" s="14"/>
      <c r="AR15" s="14"/>
      <c r="AS15" s="14"/>
      <c r="AT15" s="14"/>
      <c r="AU15" s="14"/>
      <c r="AX15" s="46"/>
      <c r="AY15" s="7" t="s">
        <v>55</v>
      </c>
      <c r="AZ15" s="14">
        <v>1.00984403294164</v>
      </c>
      <c r="BA15" s="14">
        <v>1.0808896484089099</v>
      </c>
      <c r="BB15" s="14">
        <v>2.5194761790812201</v>
      </c>
      <c r="BC15" s="14">
        <v>1.7472309620915498</v>
      </c>
      <c r="BD15" s="14">
        <v>0.96674547544322498</v>
      </c>
      <c r="BE15" s="14">
        <v>0.947533602910962</v>
      </c>
    </row>
    <row r="16" spans="1:57" x14ac:dyDescent="0.25">
      <c r="A16" s="46"/>
      <c r="B16" s="7" t="s">
        <v>56</v>
      </c>
      <c r="C16" s="27">
        <v>-0.309</v>
      </c>
      <c r="D16" s="27">
        <v>-0.2</v>
      </c>
      <c r="E16" s="27">
        <v>0.35899999999999999</v>
      </c>
      <c r="F16" s="27">
        <v>6.6E-3</v>
      </c>
      <c r="G16" s="27">
        <v>6.8999999999999999E-3</v>
      </c>
      <c r="H16" s="8">
        <v>4.17</v>
      </c>
      <c r="I16" s="27">
        <f>Tabela1115[[#This Row],[NICS(0)]]/$H$3</f>
        <v>-0.52784810126582271</v>
      </c>
      <c r="J16" s="27">
        <v>-0.89</v>
      </c>
      <c r="K16" s="27">
        <f>Tabela1115[[#This Row],[NICS(1)]]/$J$3</f>
        <v>8.9089089089089094E-2</v>
      </c>
      <c r="L16" s="27">
        <v>-0.73</v>
      </c>
      <c r="M16" s="27">
        <f>Tabela1115[[#This Row],[Coluna7]]/$L$3</f>
        <v>2.4333333333333332E-2</v>
      </c>
      <c r="N16" s="14">
        <v>0.94000269304711903</v>
      </c>
      <c r="O16" s="14">
        <v>0.92262230284152391</v>
      </c>
      <c r="P16" s="14">
        <v>2.7471339556375698</v>
      </c>
      <c r="Q16" s="14">
        <v>0.20312367748158</v>
      </c>
      <c r="R16" s="14">
        <v>0.90480217408997698</v>
      </c>
      <c r="S16" s="14">
        <v>0.83623059805340305</v>
      </c>
      <c r="U16" s="46"/>
      <c r="V16" s="7" t="s">
        <v>56</v>
      </c>
      <c r="W16" s="14">
        <v>0.94000269304711903</v>
      </c>
      <c r="X16" s="14">
        <v>0.92262230284152391</v>
      </c>
      <c r="Y16" s="14">
        <v>2.7471339556375698</v>
      </c>
      <c r="Z16" s="14">
        <v>0.20312367748158</v>
      </c>
      <c r="AA16" s="14">
        <v>0.90480217408997698</v>
      </c>
      <c r="AB16" s="14">
        <v>0.83623059805340305</v>
      </c>
      <c r="AE16" t="s">
        <v>58</v>
      </c>
      <c r="AF16">
        <v>0.87482509829847099</v>
      </c>
      <c r="AG16">
        <v>0.78717977116079696</v>
      </c>
      <c r="AH16">
        <v>2.8548665020517596</v>
      </c>
      <c r="AI16">
        <v>-0.58971007087218297</v>
      </c>
      <c r="AJ16">
        <v>0.89852923368886595</v>
      </c>
      <c r="AK16">
        <v>0.79798948289928906</v>
      </c>
      <c r="AN16" s="46"/>
      <c r="AO16" s="7"/>
      <c r="AP16" s="14"/>
      <c r="AQ16" s="14"/>
      <c r="AR16" s="14"/>
      <c r="AS16" s="14"/>
      <c r="AT16" s="14"/>
      <c r="AU16" s="14"/>
      <c r="AX16" s="46"/>
      <c r="AY16" s="7" t="s">
        <v>56</v>
      </c>
      <c r="AZ16" s="14">
        <v>0.94000269304711903</v>
      </c>
      <c r="BA16" s="14">
        <v>0.92262230284152391</v>
      </c>
      <c r="BB16" s="14">
        <v>2.7471339556375698</v>
      </c>
      <c r="BC16" s="14">
        <v>0.20312367748158</v>
      </c>
      <c r="BD16" s="14">
        <v>0.90480217408997698</v>
      </c>
      <c r="BE16" s="14">
        <v>0.83623059805340305</v>
      </c>
    </row>
    <row r="17" spans="1:57" x14ac:dyDescent="0.25">
      <c r="A17" s="46"/>
      <c r="B17" s="7" t="s">
        <v>57</v>
      </c>
      <c r="C17" s="27">
        <v>0.997</v>
      </c>
      <c r="D17" s="27">
        <v>0.91</v>
      </c>
      <c r="E17" s="27">
        <v>0.98099999999999998</v>
      </c>
      <c r="F17" s="27">
        <v>3.7699999999999997E-2</v>
      </c>
      <c r="G17" s="27">
        <v>5.6000000000000001E-2</v>
      </c>
      <c r="H17" s="8">
        <v>-9.83</v>
      </c>
      <c r="I17" s="27">
        <f>Tabela1115[[#This Row],[NICS(0)]]/$H$3</f>
        <v>1.2443037974683544</v>
      </c>
      <c r="J17" s="27">
        <v>-9.11</v>
      </c>
      <c r="K17" s="27">
        <f>Tabela1115[[#This Row],[NICS(1)]]/$J$3</f>
        <v>0.91191191191191179</v>
      </c>
      <c r="L17" s="27">
        <v>-24.94</v>
      </c>
      <c r="M17" s="27">
        <f>Tabela1115[[#This Row],[Coluna7]]/$L$3</f>
        <v>0.83133333333333337</v>
      </c>
      <c r="N17" s="14">
        <v>0.97706721764549298</v>
      </c>
      <c r="O17" s="14">
        <v>1.0254662373516599</v>
      </c>
      <c r="P17" s="14">
        <v>2.5256262489363199</v>
      </c>
      <c r="Q17" s="14">
        <v>1.0880822085286901</v>
      </c>
      <c r="R17" s="14">
        <v>0.96186211044742298</v>
      </c>
      <c r="S17" s="14">
        <v>0.94043088748210901</v>
      </c>
      <c r="U17" s="46"/>
      <c r="V17" s="7" t="s">
        <v>57</v>
      </c>
      <c r="W17" s="14">
        <v>0.97706721764549298</v>
      </c>
      <c r="X17" s="14">
        <v>1.0254662373516599</v>
      </c>
      <c r="Y17" s="14">
        <v>2.5256262489363199</v>
      </c>
      <c r="Z17" s="14">
        <v>1.0880822085286901</v>
      </c>
      <c r="AA17" s="14">
        <v>0.96186211044742298</v>
      </c>
      <c r="AB17" s="14">
        <v>0.94043088748210901</v>
      </c>
      <c r="AE17" t="s">
        <v>48</v>
      </c>
      <c r="AF17">
        <v>0.75374966280618194</v>
      </c>
      <c r="AG17">
        <v>0.55936173155264302</v>
      </c>
      <c r="AH17">
        <v>1.65588083775957</v>
      </c>
      <c r="AI17">
        <v>1.5611114536234201</v>
      </c>
      <c r="AJ17">
        <v>0.78894533211844697</v>
      </c>
      <c r="AK17">
        <v>0.76788333918940099</v>
      </c>
      <c r="AN17" s="46"/>
      <c r="AO17" s="7"/>
      <c r="AP17" s="14"/>
      <c r="AQ17" s="14"/>
      <c r="AR17" s="14"/>
      <c r="AS17" s="14"/>
      <c r="AT17" s="14"/>
      <c r="AU17" s="14"/>
      <c r="AX17" s="46"/>
      <c r="AY17" s="7" t="s">
        <v>57</v>
      </c>
      <c r="AZ17" s="14">
        <v>0.97706721764549298</v>
      </c>
      <c r="BA17" s="14">
        <v>1.0254662373516599</v>
      </c>
      <c r="BB17" s="14">
        <v>2.5256262489363199</v>
      </c>
      <c r="BC17" s="14">
        <v>1.0880822085286901</v>
      </c>
      <c r="BD17" s="14">
        <v>0.96186211044742298</v>
      </c>
      <c r="BE17" s="14">
        <v>0.94043088748210901</v>
      </c>
    </row>
    <row r="18" spans="1:57" x14ac:dyDescent="0.25">
      <c r="A18" s="46"/>
      <c r="B18" s="7" t="s">
        <v>58</v>
      </c>
      <c r="C18" s="27">
        <v>-0.80800000000000005</v>
      </c>
      <c r="D18" s="27">
        <v>-0.68400000000000005</v>
      </c>
      <c r="E18" s="27">
        <v>0.314</v>
      </c>
      <c r="F18" s="27">
        <v>4.8999999999999998E-3</v>
      </c>
      <c r="G18" s="27">
        <v>4.7000000000000002E-3</v>
      </c>
      <c r="H18" s="8">
        <v>8.86</v>
      </c>
      <c r="I18" s="27">
        <f>Tabela1115[[#This Row],[NICS(0)]]/$H$3</f>
        <v>-1.1215189873417721</v>
      </c>
      <c r="J18" s="27">
        <v>1.37</v>
      </c>
      <c r="K18" s="27">
        <f>Tabela1115[[#This Row],[NICS(1)]]/$J$3</f>
        <v>-0.13713713713713716</v>
      </c>
      <c r="L18" s="27">
        <v>3.2</v>
      </c>
      <c r="M18" s="27">
        <f>Tabela1115[[#This Row],[Coluna7]]/$L$3</f>
        <v>-0.10666666666666667</v>
      </c>
      <c r="N18" s="14">
        <v>0.87482509829847099</v>
      </c>
      <c r="O18" s="14">
        <v>0.78717977116079696</v>
      </c>
      <c r="P18" s="14">
        <v>2.8548665020517596</v>
      </c>
      <c r="Q18" s="14">
        <v>-0.58971007087218297</v>
      </c>
      <c r="R18" s="14">
        <v>0.89852923368886595</v>
      </c>
      <c r="S18" s="14">
        <v>0.79798948289928906</v>
      </c>
      <c r="U18" s="46"/>
      <c r="V18" s="7" t="s">
        <v>58</v>
      </c>
      <c r="W18" s="14">
        <v>0.87482509829847099</v>
      </c>
      <c r="X18" s="14">
        <v>0.78717977116079696</v>
      </c>
      <c r="Y18" s="14">
        <v>2.8548665020517596</v>
      </c>
      <c r="Z18" s="14">
        <v>-0.58971007087218297</v>
      </c>
      <c r="AA18" s="14">
        <v>0.89852923368886595</v>
      </c>
      <c r="AB18" s="14">
        <v>0.79798948289928906</v>
      </c>
      <c r="AN18" s="46"/>
      <c r="AO18" s="7"/>
      <c r="AP18" s="14"/>
      <c r="AQ18" s="14"/>
      <c r="AR18" s="14"/>
      <c r="AS18" s="14"/>
      <c r="AT18" s="14"/>
      <c r="AU18" s="14"/>
      <c r="AX18" s="46"/>
      <c r="AY18" s="7" t="s">
        <v>58</v>
      </c>
      <c r="AZ18" s="14">
        <v>0.87482509829847099</v>
      </c>
      <c r="BA18" s="14">
        <v>0.78717977116079696</v>
      </c>
      <c r="BB18" s="14">
        <v>2.8548665020517596</v>
      </c>
      <c r="BC18" s="14">
        <v>-0.58971007087218297</v>
      </c>
      <c r="BD18" s="14">
        <v>0.89852923368886595</v>
      </c>
      <c r="BE18" s="14">
        <v>0.79798948289928906</v>
      </c>
    </row>
  </sheetData>
  <mergeCells count="13">
    <mergeCell ref="N1:S1"/>
    <mergeCell ref="A3:A12"/>
    <mergeCell ref="A13:A18"/>
    <mergeCell ref="W1:AB1"/>
    <mergeCell ref="U3:U12"/>
    <mergeCell ref="U13:U18"/>
    <mergeCell ref="C1:M1"/>
    <mergeCell ref="AP1:AU1"/>
    <mergeCell ref="AN3:AN12"/>
    <mergeCell ref="AN13:AN18"/>
    <mergeCell ref="AZ1:BE1"/>
    <mergeCell ref="AX3:AX12"/>
    <mergeCell ref="AX13:AX18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0E46-D21D-486B-A56C-C7BF871FF6CC}">
  <dimension ref="A1:Q19"/>
  <sheetViews>
    <sheetView zoomScale="70" zoomScaleNormal="70" workbookViewId="0">
      <selection activeCell="I15" sqref="I15"/>
    </sheetView>
  </sheetViews>
  <sheetFormatPr defaultRowHeight="15" x14ac:dyDescent="0.25"/>
  <cols>
    <col min="1" max="1" width="16.140625" style="4" bestFit="1" customWidth="1"/>
    <col min="2" max="2" width="23.5703125" style="4" customWidth="1"/>
    <col min="3" max="3" width="22.28515625" style="4" customWidth="1"/>
    <col min="4" max="4" width="13.140625" style="4" customWidth="1"/>
    <col min="5" max="5" width="11.85546875" style="4" customWidth="1"/>
    <col min="6" max="6" width="10" style="4" customWidth="1"/>
    <col min="7" max="7" width="9.7109375" style="4" customWidth="1"/>
    <col min="8" max="10" width="9.140625" style="4"/>
    <col min="11" max="11" width="16.140625" style="4" bestFit="1" customWidth="1"/>
    <col min="12" max="12" width="23.5703125" style="4" customWidth="1"/>
    <col min="13" max="13" width="22.28515625" style="4" customWidth="1"/>
    <col min="14" max="14" width="13.140625" style="4" customWidth="1"/>
    <col min="15" max="15" width="11.85546875" style="4" customWidth="1"/>
    <col min="16" max="16" width="10" style="4" customWidth="1"/>
    <col min="17" max="17" width="9.7109375" style="4" customWidth="1"/>
    <col min="18" max="16384" width="9.140625" style="4"/>
  </cols>
  <sheetData>
    <row r="1" spans="1:17" x14ac:dyDescent="0.25">
      <c r="A1" s="49" t="s">
        <v>30</v>
      </c>
      <c r="B1" s="49"/>
      <c r="C1" s="49"/>
      <c r="D1" s="49"/>
      <c r="E1" s="49"/>
      <c r="F1" s="49"/>
      <c r="G1" s="49"/>
      <c r="K1" s="49" t="s">
        <v>31</v>
      </c>
      <c r="L1" s="49"/>
      <c r="M1" s="49"/>
      <c r="N1" s="49"/>
      <c r="O1" s="49"/>
      <c r="P1" s="49"/>
      <c r="Q1" s="49"/>
    </row>
    <row r="2" spans="1:17" x14ac:dyDescent="0.25">
      <c r="A2" s="49"/>
      <c r="B2" s="49"/>
      <c r="C2" s="49"/>
      <c r="D2" s="49"/>
      <c r="E2" s="49"/>
      <c r="F2" s="49"/>
      <c r="G2" s="49"/>
      <c r="K2" s="49"/>
      <c r="L2" s="49"/>
      <c r="M2" s="49"/>
      <c r="N2" s="49"/>
      <c r="O2" s="49"/>
      <c r="P2" s="49"/>
      <c r="Q2" s="49"/>
    </row>
    <row r="3" spans="1:17" ht="15.75" x14ac:dyDescent="0.25">
      <c r="A3" s="1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7</v>
      </c>
      <c r="G3" s="4" t="s">
        <v>8</v>
      </c>
      <c r="K3" s="1" t="s">
        <v>0</v>
      </c>
      <c r="L3" s="4" t="s">
        <v>1</v>
      </c>
      <c r="M3" s="4" t="s">
        <v>2</v>
      </c>
      <c r="N3" s="4" t="s">
        <v>3</v>
      </c>
      <c r="O3" s="4" t="s">
        <v>4</v>
      </c>
      <c r="P3" s="4" t="s">
        <v>7</v>
      </c>
      <c r="Q3" s="4" t="s">
        <v>8</v>
      </c>
    </row>
    <row r="4" spans="1:17" ht="15.75" x14ac:dyDescent="0.25">
      <c r="A4" s="1" t="s">
        <v>32</v>
      </c>
      <c r="B4" s="4">
        <v>6.2518440000000002</v>
      </c>
      <c r="C4" s="4">
        <v>-5.4814679999999996</v>
      </c>
      <c r="D4" s="4">
        <v>7.2512780000000001</v>
      </c>
      <c r="E4" s="4">
        <v>-7.2121399999999998</v>
      </c>
      <c r="F4" s="4">
        <v>0.36812400000000001</v>
      </c>
      <c r="G4" s="4">
        <v>0.34348499999999998</v>
      </c>
      <c r="K4" s="1" t="s">
        <v>32</v>
      </c>
      <c r="L4" s="4">
        <v>99.350171372198005</v>
      </c>
      <c r="M4" s="4">
        <v>100.71999182696</v>
      </c>
      <c r="N4" s="4">
        <v>126.287302612902</v>
      </c>
      <c r="O4" s="4">
        <v>125.605680359602</v>
      </c>
      <c r="P4" s="4">
        <v>88.371110460287198</v>
      </c>
      <c r="Q4" s="4">
        <v>82.456321447261601</v>
      </c>
    </row>
    <row r="5" spans="1:17" ht="15.75" x14ac:dyDescent="0.25">
      <c r="A5" s="1" t="s">
        <v>33</v>
      </c>
      <c r="B5" s="4">
        <v>6.2040629999999997</v>
      </c>
      <c r="C5" s="4">
        <v>-5.4587969999999997</v>
      </c>
      <c r="D5" s="4">
        <v>5.1776949999999999</v>
      </c>
      <c r="E5" s="4">
        <v>-5.1257960000000002</v>
      </c>
      <c r="F5" s="4">
        <v>0.38960699999999998</v>
      </c>
      <c r="G5" s="4">
        <v>0.38478400000000001</v>
      </c>
      <c r="K5" s="1" t="s">
        <v>33</v>
      </c>
      <c r="L5" s="4">
        <v>98.590867311134602</v>
      </c>
      <c r="M5" s="4">
        <v>100.303420402169</v>
      </c>
      <c r="N5" s="4">
        <v>90.174054187732594</v>
      </c>
      <c r="O5" s="4">
        <v>89.270188039129906</v>
      </c>
      <c r="P5" s="4">
        <v>93.528276431585795</v>
      </c>
      <c r="Q5" s="4">
        <v>92.370476707172401</v>
      </c>
    </row>
    <row r="6" spans="1:17" ht="15.75" x14ac:dyDescent="0.25">
      <c r="A6" s="1" t="s">
        <v>34</v>
      </c>
      <c r="B6" s="4">
        <v>5.674334</v>
      </c>
      <c r="C6" s="4">
        <v>-4.795782</v>
      </c>
      <c r="D6" s="4">
        <v>15.773726999999999</v>
      </c>
      <c r="E6" s="4">
        <v>-1.16632</v>
      </c>
      <c r="F6" s="4">
        <v>0.36616700000000002</v>
      </c>
      <c r="G6" s="4">
        <v>0.32168799999999997</v>
      </c>
      <c r="K6" s="1" t="s">
        <v>34</v>
      </c>
      <c r="L6" s="4">
        <v>90.172764279321399</v>
      </c>
      <c r="M6" s="4">
        <v>88.120759592847406</v>
      </c>
      <c r="N6" s="4">
        <v>274.71315194125901</v>
      </c>
      <c r="O6" s="4">
        <v>20.312475508935201</v>
      </c>
      <c r="P6" s="4">
        <v>87.901316958177105</v>
      </c>
      <c r="Q6" s="4">
        <v>77.223777264587099</v>
      </c>
    </row>
    <row r="7" spans="1:17" ht="15.75" x14ac:dyDescent="0.25">
      <c r="A7" s="1" t="s">
        <v>35</v>
      </c>
      <c r="B7" s="4">
        <v>6.4309570000000003</v>
      </c>
      <c r="C7" s="4">
        <v>-5.6913200000000002</v>
      </c>
      <c r="D7" s="4">
        <v>14.466506000000001</v>
      </c>
      <c r="E7" s="4">
        <v>-10.032439</v>
      </c>
      <c r="F7" s="4">
        <v>0.40349000000000002</v>
      </c>
      <c r="G7" s="4">
        <v>0.39141599999999999</v>
      </c>
      <c r="K7" s="1" t="s">
        <v>35</v>
      </c>
      <c r="L7" s="4">
        <v>102.19651674565699</v>
      </c>
      <c r="M7" s="4">
        <v>104.575946422494</v>
      </c>
      <c r="N7" s="4">
        <v>251.94676317379799</v>
      </c>
      <c r="O7" s="4">
        <v>174.72363629397199</v>
      </c>
      <c r="P7" s="4">
        <v>96.861001617990894</v>
      </c>
      <c r="Q7" s="4">
        <v>93.962541349990104</v>
      </c>
    </row>
    <row r="8" spans="1:17" ht="15.75" x14ac:dyDescent="0.25">
      <c r="A8" s="1" t="s">
        <v>36</v>
      </c>
      <c r="B8" s="4">
        <v>6.2223839999999999</v>
      </c>
      <c r="C8" s="4">
        <v>-5.457592</v>
      </c>
      <c r="D8" s="4">
        <v>14.501865</v>
      </c>
      <c r="E8" s="4">
        <v>-6.2476349999999998</v>
      </c>
      <c r="F8" s="4">
        <v>0.40260600000000002</v>
      </c>
      <c r="G8" s="4">
        <v>0.38912000000000002</v>
      </c>
      <c r="K8" s="1" t="s">
        <v>36</v>
      </c>
      <c r="L8" s="4">
        <v>98.882012530002797</v>
      </c>
      <c r="M8" s="4">
        <v>100.281278963023</v>
      </c>
      <c r="N8" s="4">
        <v>252.56257086081399</v>
      </c>
      <c r="O8" s="4">
        <v>108.807988310469</v>
      </c>
      <c r="P8" s="4">
        <v>96.648790347748005</v>
      </c>
      <c r="Q8" s="4">
        <v>93.411368186553801</v>
      </c>
    </row>
    <row r="9" spans="1:17" ht="15.75" x14ac:dyDescent="0.25">
      <c r="A9" s="1" t="s">
        <v>19</v>
      </c>
      <c r="B9" s="4">
        <v>5.2182459999999997</v>
      </c>
      <c r="C9" s="4">
        <v>-4.207808</v>
      </c>
      <c r="D9" s="4">
        <v>16.392322</v>
      </c>
      <c r="E9" s="4">
        <v>3.3860480000000002</v>
      </c>
      <c r="F9" s="4">
        <v>0.36479</v>
      </c>
      <c r="G9" s="4">
        <v>0.29891400000000001</v>
      </c>
      <c r="K9" s="1" t="s">
        <v>19</v>
      </c>
      <c r="L9" s="4">
        <v>82.924915330946604</v>
      </c>
      <c r="M9" s="4">
        <v>77.316950015838898</v>
      </c>
      <c r="N9" s="4">
        <v>285.48652098873299</v>
      </c>
      <c r="O9" s="4">
        <v>-58.970966005966602</v>
      </c>
      <c r="P9" s="4">
        <v>87.5707570949141</v>
      </c>
      <c r="Q9" s="4">
        <v>71.756696417854499</v>
      </c>
    </row>
    <row r="10" spans="1:17" ht="15.75" x14ac:dyDescent="0.25">
      <c r="A10" s="1" t="s">
        <v>20</v>
      </c>
      <c r="B10" s="4">
        <v>4.9475930000000004</v>
      </c>
      <c r="C10" s="4">
        <v>-4.0602349999999996</v>
      </c>
      <c r="D10" s="4">
        <v>16.520893999999998</v>
      </c>
      <c r="E10" s="4">
        <v>-14.888678000000001</v>
      </c>
      <c r="F10" s="4">
        <v>0.38352199999999997</v>
      </c>
      <c r="G10" s="4">
        <v>0.36988700000000002</v>
      </c>
      <c r="K10" s="1" t="s">
        <v>20</v>
      </c>
      <c r="L10" s="4">
        <v>78.623876800170805</v>
      </c>
      <c r="M10" s="4">
        <v>74.605349518694695</v>
      </c>
      <c r="N10" s="4">
        <v>287.72571400705999</v>
      </c>
      <c r="O10" s="4">
        <v>259.299255123313</v>
      </c>
      <c r="P10" s="4">
        <v>92.067523513680896</v>
      </c>
      <c r="Q10" s="4">
        <v>88.794332710782896</v>
      </c>
    </row>
    <row r="11" spans="1:17" ht="15.75" x14ac:dyDescent="0.25">
      <c r="A11" s="1" t="s">
        <v>21</v>
      </c>
      <c r="B11" s="4">
        <v>7.5682789999999898</v>
      </c>
      <c r="C11" s="4">
        <v>-6.8394789999999999</v>
      </c>
      <c r="D11" s="4">
        <v>9.9629910000000006</v>
      </c>
      <c r="E11" s="4">
        <v>2.3497710000000001</v>
      </c>
      <c r="F11" s="4">
        <v>0.453818</v>
      </c>
      <c r="G11" s="4">
        <v>0.44190499999999999</v>
      </c>
      <c r="K11" s="1" t="s">
        <v>21</v>
      </c>
      <c r="L11" s="4">
        <v>120.270086016638</v>
      </c>
      <c r="M11" s="4">
        <v>125.672952752925</v>
      </c>
      <c r="N11" s="4">
        <v>173.514139072674</v>
      </c>
      <c r="O11" s="4">
        <v>-40.923302257619</v>
      </c>
      <c r="P11" s="4">
        <v>108.94264054195401</v>
      </c>
      <c r="Q11" s="4">
        <v>106.082829611634</v>
      </c>
    </row>
    <row r="12" spans="1:17" ht="15.75" x14ac:dyDescent="0.25">
      <c r="A12" s="1" t="s">
        <v>22</v>
      </c>
      <c r="B12" s="4">
        <v>6.160482</v>
      </c>
      <c r="C12" s="4">
        <v>-5.3323039999999997</v>
      </c>
      <c r="D12" s="4">
        <v>5.3402989999999999</v>
      </c>
      <c r="E12" s="4">
        <v>-5.3356199999999996</v>
      </c>
      <c r="F12" s="4">
        <v>0.44186199999999998</v>
      </c>
      <c r="G12" s="4">
        <v>0.427701</v>
      </c>
      <c r="K12" s="1" t="s">
        <v>22</v>
      </c>
      <c r="L12" s="4">
        <v>97.898306873194699</v>
      </c>
      <c r="M12" s="4">
        <v>97.979157280288902</v>
      </c>
      <c r="N12" s="4">
        <v>93.005944035848799</v>
      </c>
      <c r="O12" s="4">
        <v>92.924455188099998</v>
      </c>
      <c r="P12" s="4">
        <v>106.072507117719</v>
      </c>
      <c r="Q12" s="4">
        <v>102.673045807867</v>
      </c>
    </row>
    <row r="13" spans="1:17" ht="15.75" x14ac:dyDescent="0.25">
      <c r="A13" s="1" t="s">
        <v>23</v>
      </c>
      <c r="B13" s="4">
        <v>4.617267</v>
      </c>
      <c r="C13" s="4">
        <v>-3.633578</v>
      </c>
      <c r="D13" s="4">
        <v>13.102171</v>
      </c>
      <c r="E13" s="4">
        <v>-11.686612</v>
      </c>
      <c r="F13" s="4">
        <v>0.34845199999999998</v>
      </c>
      <c r="G13" s="4">
        <v>0.33783299999999999</v>
      </c>
      <c r="K13" s="1" t="s">
        <v>23</v>
      </c>
      <c r="L13" s="4">
        <v>73.374554406858906</v>
      </c>
      <c r="M13" s="4">
        <v>66.765681467560299</v>
      </c>
      <c r="N13" s="4">
        <v>228.185684504579</v>
      </c>
      <c r="O13" s="4">
        <v>203.532495397856</v>
      </c>
      <c r="P13" s="4">
        <v>83.648689523388796</v>
      </c>
      <c r="Q13" s="4">
        <v>81.099513642496007</v>
      </c>
    </row>
    <row r="14" spans="1:17" ht="15.75" x14ac:dyDescent="0.25">
      <c r="A14" s="1" t="s">
        <v>24</v>
      </c>
      <c r="B14" s="4">
        <v>7.4010040000000004</v>
      </c>
      <c r="C14" s="4">
        <v>-6.6030699999999998</v>
      </c>
      <c r="D14" s="4">
        <v>13.089594999999999</v>
      </c>
      <c r="E14" s="4">
        <v>4.3331549999999996</v>
      </c>
      <c r="F14" s="4">
        <v>0.44206000000000001</v>
      </c>
      <c r="G14" s="4">
        <v>0.42649199999999998</v>
      </c>
      <c r="K14" s="1" t="s">
        <v>24</v>
      </c>
      <c r="L14" s="4">
        <v>117.611862312355</v>
      </c>
      <c r="M14" s="4">
        <v>121.329022888184</v>
      </c>
      <c r="N14" s="4">
        <v>227.966662544911</v>
      </c>
      <c r="O14" s="4">
        <v>-75.465656778517101</v>
      </c>
      <c r="P14" s="4">
        <v>106.120038601326</v>
      </c>
      <c r="Q14" s="4">
        <v>102.38281568827</v>
      </c>
    </row>
    <row r="15" spans="1:17" ht="15.75" x14ac:dyDescent="0.25">
      <c r="A15" s="1" t="s">
        <v>25</v>
      </c>
      <c r="B15" s="4">
        <v>6.3198350000000003</v>
      </c>
      <c r="C15" s="4">
        <v>-5.5834679999999999</v>
      </c>
      <c r="D15" s="4">
        <v>8.9084640000000004</v>
      </c>
      <c r="E15" s="4">
        <v>-7.8888400000000001</v>
      </c>
      <c r="F15" s="4">
        <v>0.43617099999999998</v>
      </c>
      <c r="G15" s="4">
        <v>0.422126</v>
      </c>
      <c r="K15" s="1" t="s">
        <v>25</v>
      </c>
      <c r="L15" s="4">
        <v>100.430639391196</v>
      </c>
      <c r="M15" s="4">
        <v>102.59420493307501</v>
      </c>
      <c r="N15" s="4">
        <v>155.14863572795699</v>
      </c>
      <c r="O15" s="4">
        <v>137.39099843431299</v>
      </c>
      <c r="P15" s="4">
        <v>104.706337051031</v>
      </c>
      <c r="Q15" s="4">
        <v>101.334722468948</v>
      </c>
    </row>
    <row r="16" spans="1:17" ht="15.75" x14ac:dyDescent="0.25">
      <c r="A16" s="1" t="s">
        <v>26</v>
      </c>
      <c r="B16" s="4">
        <v>4.3538759999999996</v>
      </c>
      <c r="C16" s="4">
        <v>-3.2516889999999998</v>
      </c>
      <c r="D16" s="4">
        <v>9.5078790000000009</v>
      </c>
      <c r="E16" s="4">
        <v>-8.9637239999999991</v>
      </c>
      <c r="F16" s="4">
        <v>0.31886300000000001</v>
      </c>
      <c r="G16" s="4">
        <v>0.30378100000000002</v>
      </c>
      <c r="K16" s="1" t="s">
        <v>26</v>
      </c>
      <c r="L16" s="4">
        <v>69.188918778731505</v>
      </c>
      <c r="M16" s="4">
        <v>59.748609223627398</v>
      </c>
      <c r="N16" s="4">
        <v>165.587968421547</v>
      </c>
      <c r="O16" s="4">
        <v>156.11103660989599</v>
      </c>
      <c r="P16" s="4">
        <v>76.545613420202301</v>
      </c>
      <c r="Q16" s="4">
        <v>72.925058694180507</v>
      </c>
    </row>
    <row r="17" spans="1:17" ht="15.75" x14ac:dyDescent="0.25">
      <c r="A17" s="1" t="s">
        <v>27</v>
      </c>
      <c r="B17" s="4">
        <v>7.2480589999999996</v>
      </c>
      <c r="C17" s="4">
        <v>-6.3934379999999997</v>
      </c>
      <c r="D17" s="4">
        <v>12.836255</v>
      </c>
      <c r="E17" s="4">
        <v>5.4267690000000002</v>
      </c>
      <c r="F17" s="4">
        <v>0.43526599999999999</v>
      </c>
      <c r="G17" s="4">
        <v>0.413578</v>
      </c>
      <c r="K17" s="1" t="s">
        <v>27</v>
      </c>
      <c r="L17" s="4">
        <v>115.18136149363301</v>
      </c>
      <c r="M17" s="4">
        <v>117.47711071307501</v>
      </c>
      <c r="N17" s="4">
        <v>223.55452647124901</v>
      </c>
      <c r="O17" s="4">
        <v>-94.511894167251498</v>
      </c>
      <c r="P17" s="4">
        <v>104.48908456283</v>
      </c>
      <c r="Q17" s="4">
        <v>99.282706701939105</v>
      </c>
    </row>
    <row r="18" spans="1:17" ht="15.75" x14ac:dyDescent="0.25">
      <c r="A18" s="1" t="s">
        <v>28</v>
      </c>
      <c r="B18" s="4">
        <v>6.2354320000000003</v>
      </c>
      <c r="C18" s="4">
        <v>-5.4012979999999997</v>
      </c>
      <c r="D18" s="4">
        <v>8.3529</v>
      </c>
      <c r="E18" s="4">
        <v>-6.0799789999999998</v>
      </c>
      <c r="F18" s="4">
        <v>0.43752000000000002</v>
      </c>
      <c r="G18" s="4">
        <v>0.42156500000000002</v>
      </c>
      <c r="K18" s="1" t="s">
        <v>28</v>
      </c>
      <c r="L18" s="4">
        <v>99.089362719173295</v>
      </c>
      <c r="M18" s="4">
        <v>99.246897074830997</v>
      </c>
      <c r="N18" s="4">
        <v>145.47300627493701</v>
      </c>
      <c r="O18" s="4">
        <v>105.88811349573</v>
      </c>
      <c r="P18" s="4">
        <v>105.03017529035</v>
      </c>
      <c r="Q18" s="4">
        <v>101.200049932063</v>
      </c>
    </row>
    <row r="19" spans="1:17" ht="15.75" x14ac:dyDescent="0.25">
      <c r="A19" s="1" t="s">
        <v>29</v>
      </c>
      <c r="B19" s="4">
        <v>6.2927359999999997</v>
      </c>
      <c r="C19" s="4">
        <v>-5.4422839999999999</v>
      </c>
      <c r="D19" s="4">
        <v>5.7418899999999997</v>
      </c>
      <c r="E19" s="4">
        <v>-5.7418899999999997</v>
      </c>
      <c r="F19" s="4">
        <v>0.41656599999999999</v>
      </c>
      <c r="G19" s="4">
        <v>0.41656599999999999</v>
      </c>
      <c r="K19" s="1" t="s">
        <v>29</v>
      </c>
      <c r="L19" s="4">
        <v>100</v>
      </c>
      <c r="M19" s="4">
        <v>100</v>
      </c>
      <c r="N19" s="4">
        <v>100</v>
      </c>
      <c r="O19" s="4">
        <v>100</v>
      </c>
      <c r="P19" s="4">
        <v>100</v>
      </c>
      <c r="Q19" s="4">
        <v>100</v>
      </c>
    </row>
  </sheetData>
  <mergeCells count="2">
    <mergeCell ref="K1:Q2"/>
    <mergeCell ref="A1:G2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14A2-3612-4519-9002-A44588EF969D}">
  <dimension ref="A1:Q19"/>
  <sheetViews>
    <sheetView workbookViewId="0">
      <selection activeCell="C22" sqref="C22"/>
    </sheetView>
  </sheetViews>
  <sheetFormatPr defaultRowHeight="15" x14ac:dyDescent="0.25"/>
  <cols>
    <col min="1" max="1" width="16.140625" style="4" bestFit="1" customWidth="1"/>
    <col min="2" max="2" width="23.5703125" style="4" customWidth="1"/>
    <col min="3" max="3" width="22.28515625" style="4" customWidth="1"/>
    <col min="4" max="4" width="13.140625" style="4" customWidth="1"/>
    <col min="5" max="5" width="11.85546875" style="4" customWidth="1"/>
    <col min="6" max="6" width="10.7109375" style="4" customWidth="1"/>
    <col min="7" max="7" width="10.42578125" style="4" customWidth="1"/>
    <col min="8" max="10" width="9.140625" style="4"/>
    <col min="11" max="11" width="16.140625" style="4" bestFit="1" customWidth="1"/>
    <col min="12" max="12" width="23.5703125" style="4" customWidth="1"/>
    <col min="13" max="13" width="22.28515625" style="4" customWidth="1"/>
    <col min="14" max="14" width="13.140625" style="4" customWidth="1"/>
    <col min="15" max="15" width="11.85546875" style="4" customWidth="1"/>
    <col min="16" max="16" width="10.7109375" style="4" customWidth="1"/>
    <col min="17" max="17" width="10.42578125" style="4" customWidth="1"/>
    <col min="18" max="16384" width="9.140625" style="4"/>
  </cols>
  <sheetData>
    <row r="1" spans="1:17" x14ac:dyDescent="0.25">
      <c r="A1" s="49" t="s">
        <v>30</v>
      </c>
      <c r="B1" s="49"/>
      <c r="C1" s="49"/>
      <c r="D1" s="49"/>
      <c r="E1" s="49"/>
      <c r="F1" s="49"/>
      <c r="G1" s="49"/>
      <c r="K1" s="49" t="s">
        <v>31</v>
      </c>
      <c r="L1" s="49"/>
      <c r="M1" s="49"/>
      <c r="N1" s="49"/>
      <c r="O1" s="49"/>
      <c r="P1" s="49"/>
      <c r="Q1" s="49"/>
    </row>
    <row r="2" spans="1:17" x14ac:dyDescent="0.25">
      <c r="A2" s="49"/>
      <c r="B2" s="49"/>
      <c r="C2" s="49"/>
      <c r="D2" s="49"/>
      <c r="E2" s="49"/>
      <c r="F2" s="49"/>
      <c r="G2" s="49"/>
      <c r="K2" s="49"/>
      <c r="L2" s="49"/>
      <c r="M2" s="49"/>
      <c r="N2" s="49"/>
      <c r="O2" s="49"/>
      <c r="P2" s="49"/>
      <c r="Q2" s="49"/>
    </row>
    <row r="3" spans="1:17" ht="15.75" x14ac:dyDescent="0.25">
      <c r="A3" s="1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15</v>
      </c>
      <c r="G3" s="4" t="s">
        <v>16</v>
      </c>
      <c r="K3" s="1" t="s">
        <v>0</v>
      </c>
      <c r="L3" s="4" t="s">
        <v>1</v>
      </c>
      <c r="M3" s="4" t="s">
        <v>2</v>
      </c>
      <c r="N3" s="4" t="s">
        <v>3</v>
      </c>
      <c r="O3" s="4" t="s">
        <v>4</v>
      </c>
      <c r="P3" s="4" t="s">
        <v>15</v>
      </c>
      <c r="Q3" s="4" t="s">
        <v>16</v>
      </c>
    </row>
    <row r="4" spans="1:17" ht="15.75" x14ac:dyDescent="0.25">
      <c r="A4" s="1" t="s">
        <v>32</v>
      </c>
      <c r="B4" s="4">
        <v>6.2518440000000002</v>
      </c>
      <c r="C4" s="4">
        <v>-5.4814679999999996</v>
      </c>
      <c r="D4" s="4">
        <v>7.2512780000000001</v>
      </c>
      <c r="E4" s="4">
        <v>-7.2121399999999998</v>
      </c>
      <c r="F4" s="4">
        <v>0.36812400000000001</v>
      </c>
      <c r="G4" s="4">
        <v>0.34348499999999998</v>
      </c>
      <c r="K4" s="1" t="s">
        <v>32</v>
      </c>
      <c r="L4" s="5">
        <v>99.350171372198005</v>
      </c>
      <c r="M4" s="5">
        <v>100.71999182696</v>
      </c>
      <c r="N4" s="5">
        <v>126.287302612902</v>
      </c>
      <c r="O4" s="5">
        <v>125.605680359602</v>
      </c>
      <c r="P4" s="5">
        <v>88.371110460287198</v>
      </c>
      <c r="Q4" s="5">
        <v>82.456321447261601</v>
      </c>
    </row>
    <row r="5" spans="1:17" ht="15.75" x14ac:dyDescent="0.25">
      <c r="A5" s="1" t="s">
        <v>33</v>
      </c>
      <c r="B5" s="4">
        <v>6.2040629999999997</v>
      </c>
      <c r="C5" s="4">
        <v>-5.4587969999999997</v>
      </c>
      <c r="D5" s="4">
        <v>5.1776949999999999</v>
      </c>
      <c r="E5" s="4">
        <v>-5.1257960000000002</v>
      </c>
      <c r="F5" s="4">
        <v>0.38960699999999998</v>
      </c>
      <c r="G5" s="4">
        <v>0.38478400000000001</v>
      </c>
      <c r="K5" s="1" t="s">
        <v>33</v>
      </c>
      <c r="L5" s="5">
        <v>98.590867311134602</v>
      </c>
      <c r="M5" s="5">
        <v>100.303420402169</v>
      </c>
      <c r="N5" s="5">
        <v>90.174054187732594</v>
      </c>
      <c r="O5" s="5">
        <v>89.270188039129906</v>
      </c>
      <c r="P5" s="5">
        <v>93.528276431585795</v>
      </c>
      <c r="Q5" s="5">
        <v>92.370476707172401</v>
      </c>
    </row>
    <row r="6" spans="1:17" ht="15.75" x14ac:dyDescent="0.25">
      <c r="A6" s="1" t="s">
        <v>34</v>
      </c>
      <c r="B6" s="4">
        <v>5.674334</v>
      </c>
      <c r="C6" s="4">
        <v>-4.795782</v>
      </c>
      <c r="D6" s="4">
        <v>15.773726999999999</v>
      </c>
      <c r="E6" s="4">
        <v>-1.16632</v>
      </c>
      <c r="F6" s="4">
        <v>0.36616700000000002</v>
      </c>
      <c r="G6" s="4">
        <v>0.32168799999999997</v>
      </c>
      <c r="K6" s="1" t="s">
        <v>34</v>
      </c>
      <c r="L6" s="5">
        <v>90.172764279321399</v>
      </c>
      <c r="M6" s="5">
        <v>88.120759592847406</v>
      </c>
      <c r="N6" s="5">
        <v>274.71315194125901</v>
      </c>
      <c r="O6" s="5">
        <v>20.312475508935201</v>
      </c>
      <c r="P6" s="5">
        <v>87.901316958177105</v>
      </c>
      <c r="Q6" s="5">
        <v>77.223777264587099</v>
      </c>
    </row>
    <row r="7" spans="1:17" ht="15.75" x14ac:dyDescent="0.25">
      <c r="A7" s="1" t="s">
        <v>35</v>
      </c>
      <c r="B7" s="4">
        <v>6.4309570000000003</v>
      </c>
      <c r="C7" s="4">
        <v>-5.6913200000000002</v>
      </c>
      <c r="D7" s="4">
        <v>14.466506000000001</v>
      </c>
      <c r="E7" s="4">
        <v>-10.032439</v>
      </c>
      <c r="F7" s="4">
        <v>0.40349000000000002</v>
      </c>
      <c r="G7" s="4">
        <v>0.39141599999999999</v>
      </c>
      <c r="K7" s="1" t="s">
        <v>35</v>
      </c>
      <c r="L7" s="5">
        <v>102.19651674565699</v>
      </c>
      <c r="M7" s="5">
        <v>104.575946422494</v>
      </c>
      <c r="N7" s="5">
        <v>251.94676317379799</v>
      </c>
      <c r="O7" s="5">
        <v>174.72363629397199</v>
      </c>
      <c r="P7" s="5">
        <v>96.861001617990894</v>
      </c>
      <c r="Q7" s="5">
        <v>93.962541349990104</v>
      </c>
    </row>
    <row r="8" spans="1:17" ht="15.75" x14ac:dyDescent="0.25">
      <c r="A8" s="1" t="s">
        <v>36</v>
      </c>
      <c r="B8" s="4">
        <v>6.2223839999999999</v>
      </c>
      <c r="C8" s="4">
        <v>-5.457592</v>
      </c>
      <c r="D8" s="4">
        <v>14.501865</v>
      </c>
      <c r="E8" s="4">
        <v>-6.2476349999999998</v>
      </c>
      <c r="F8" s="4">
        <v>0.40260600000000002</v>
      </c>
      <c r="G8" s="4">
        <v>0.38912000000000002</v>
      </c>
      <c r="K8" s="1" t="s">
        <v>36</v>
      </c>
      <c r="L8" s="5">
        <v>98.882012530002797</v>
      </c>
      <c r="M8" s="5">
        <v>100.281278963023</v>
      </c>
      <c r="N8" s="5">
        <v>252.56257086081399</v>
      </c>
      <c r="O8" s="5">
        <v>108.807988310469</v>
      </c>
      <c r="P8" s="5">
        <v>96.648790347748005</v>
      </c>
      <c r="Q8" s="5">
        <v>93.411368186553801</v>
      </c>
    </row>
    <row r="9" spans="1:17" ht="15.75" x14ac:dyDescent="0.25">
      <c r="A9" s="1" t="s">
        <v>19</v>
      </c>
      <c r="B9" s="4">
        <v>5.2182459999999997</v>
      </c>
      <c r="C9" s="4">
        <v>-4.207808</v>
      </c>
      <c r="D9" s="4">
        <v>16.392322</v>
      </c>
      <c r="E9" s="4">
        <v>3.3860480000000002</v>
      </c>
      <c r="F9" s="4">
        <v>0.36479</v>
      </c>
      <c r="G9" s="4">
        <v>0.29891400000000001</v>
      </c>
      <c r="K9" s="1" t="s">
        <v>19</v>
      </c>
      <c r="L9" s="5">
        <v>82.924915330946604</v>
      </c>
      <c r="M9" s="5">
        <v>77.316950015838898</v>
      </c>
      <c r="N9" s="5">
        <v>285.48652098873299</v>
      </c>
      <c r="O9" s="5">
        <v>-58.970966005966602</v>
      </c>
      <c r="P9" s="5">
        <v>87.5707570949141</v>
      </c>
      <c r="Q9" s="5">
        <v>71.756696417854499</v>
      </c>
    </row>
    <row r="10" spans="1:17" ht="15.75" x14ac:dyDescent="0.25">
      <c r="A10" s="1" t="s">
        <v>20</v>
      </c>
      <c r="B10" s="4">
        <v>4.9475930000000004</v>
      </c>
      <c r="C10" s="4">
        <v>-4.0602349999999996</v>
      </c>
      <c r="D10" s="4">
        <v>16.520893999999998</v>
      </c>
      <c r="E10" s="4">
        <v>-14.888678000000001</v>
      </c>
      <c r="F10" s="4">
        <v>0.38352199999999997</v>
      </c>
      <c r="G10" s="4">
        <v>0.36988700000000002</v>
      </c>
      <c r="K10" s="1" t="s">
        <v>20</v>
      </c>
      <c r="L10" s="5">
        <v>78.623876800170805</v>
      </c>
      <c r="M10" s="5">
        <v>74.605349518694695</v>
      </c>
      <c r="N10" s="5">
        <v>287.72571400705999</v>
      </c>
      <c r="O10" s="5">
        <v>259.299255123313</v>
      </c>
      <c r="P10" s="5">
        <v>92.067523513680896</v>
      </c>
      <c r="Q10" s="5">
        <v>88.794332710782896</v>
      </c>
    </row>
    <row r="11" spans="1:17" ht="15.75" x14ac:dyDescent="0.25">
      <c r="A11" s="1" t="s">
        <v>21</v>
      </c>
      <c r="B11" s="4">
        <v>7.5682789999999898</v>
      </c>
      <c r="C11" s="4">
        <v>-6.8394789999999999</v>
      </c>
      <c r="D11" s="4">
        <v>9.9629910000000006</v>
      </c>
      <c r="E11" s="4">
        <v>2.3497710000000001</v>
      </c>
      <c r="F11" s="4">
        <v>0.453818</v>
      </c>
      <c r="G11" s="4">
        <v>0.44190499999999999</v>
      </c>
      <c r="K11" s="1" t="s">
        <v>21</v>
      </c>
      <c r="L11" s="5">
        <v>120.270086016638</v>
      </c>
      <c r="M11" s="5">
        <v>125.672952752925</v>
      </c>
      <c r="N11" s="5">
        <v>173.514139072674</v>
      </c>
      <c r="O11" s="5">
        <v>-40.923302257619</v>
      </c>
      <c r="P11" s="5">
        <v>108.94264054195401</v>
      </c>
      <c r="Q11" s="5">
        <v>106.082829611634</v>
      </c>
    </row>
    <row r="12" spans="1:17" ht="15.75" x14ac:dyDescent="0.25">
      <c r="A12" s="1" t="s">
        <v>22</v>
      </c>
      <c r="B12" s="4">
        <v>6.1222209999999997</v>
      </c>
      <c r="C12" s="4">
        <v>-5.3224809999999998</v>
      </c>
      <c r="D12" s="4">
        <v>5.3402760000000002</v>
      </c>
      <c r="E12" s="4">
        <v>-5.335604</v>
      </c>
      <c r="F12" s="4">
        <v>0.45119100000000001</v>
      </c>
      <c r="G12" s="4">
        <v>0.43622</v>
      </c>
      <c r="K12" s="1" t="s">
        <v>22</v>
      </c>
      <c r="L12" s="5">
        <v>97.290288357877998</v>
      </c>
      <c r="M12" s="5">
        <v>97.798663208314693</v>
      </c>
      <c r="N12" s="5">
        <v>93.005543470877996</v>
      </c>
      <c r="O12" s="5">
        <v>92.924176534207305</v>
      </c>
      <c r="P12" s="5">
        <v>108.312008181176</v>
      </c>
      <c r="Q12" s="5">
        <v>104.71809989293401</v>
      </c>
    </row>
    <row r="13" spans="1:17" ht="15.75" x14ac:dyDescent="0.25">
      <c r="A13" s="1" t="s">
        <v>23</v>
      </c>
      <c r="B13" s="4">
        <v>4.617267</v>
      </c>
      <c r="C13" s="4">
        <v>-3.633578</v>
      </c>
      <c r="D13" s="4">
        <v>13.102171</v>
      </c>
      <c r="E13" s="4">
        <v>-11.686612</v>
      </c>
      <c r="F13" s="4">
        <v>0.34845199999999998</v>
      </c>
      <c r="G13" s="4">
        <v>0.33783299999999999</v>
      </c>
      <c r="K13" s="1" t="s">
        <v>23</v>
      </c>
      <c r="L13" s="5">
        <v>73.374554406858906</v>
      </c>
      <c r="M13" s="5">
        <v>66.765681467560299</v>
      </c>
      <c r="N13" s="5">
        <v>228.185684504579</v>
      </c>
      <c r="O13" s="5">
        <v>203.532495397856</v>
      </c>
      <c r="P13" s="5">
        <v>83.648689523388796</v>
      </c>
      <c r="Q13" s="5">
        <v>81.099513642496007</v>
      </c>
    </row>
    <row r="14" spans="1:17" ht="15.75" x14ac:dyDescent="0.25">
      <c r="A14" s="1" t="s">
        <v>24</v>
      </c>
      <c r="B14" s="4">
        <v>7.4010040000000004</v>
      </c>
      <c r="C14" s="4">
        <v>-6.6030699999999998</v>
      </c>
      <c r="D14" s="4">
        <v>13.089594999999999</v>
      </c>
      <c r="E14" s="4">
        <v>4.3331549999999996</v>
      </c>
      <c r="F14" s="4">
        <v>0.44206000000000001</v>
      </c>
      <c r="G14" s="4">
        <v>0.42649199999999998</v>
      </c>
      <c r="K14" s="1" t="s">
        <v>24</v>
      </c>
      <c r="L14" s="5">
        <v>117.611862312355</v>
      </c>
      <c r="M14" s="5">
        <v>121.329022888184</v>
      </c>
      <c r="N14" s="5">
        <v>227.966662544911</v>
      </c>
      <c r="O14" s="5">
        <v>-75.465656778517101</v>
      </c>
      <c r="P14" s="5">
        <v>106.120038601326</v>
      </c>
      <c r="Q14" s="5">
        <v>102.38281568827</v>
      </c>
    </row>
    <row r="15" spans="1:17" ht="15.75" x14ac:dyDescent="0.25">
      <c r="A15" s="1" t="s">
        <v>25</v>
      </c>
      <c r="B15" s="4">
        <v>6.37127</v>
      </c>
      <c r="C15" s="4">
        <v>-5.4941009999999997</v>
      </c>
      <c r="D15" s="4">
        <v>8.9084289999999999</v>
      </c>
      <c r="E15" s="4">
        <v>-7.8888389999999999</v>
      </c>
      <c r="F15" s="4">
        <v>0.45113999999999999</v>
      </c>
      <c r="G15" s="4">
        <v>0.43513800000000002</v>
      </c>
      <c r="K15" s="1" t="s">
        <v>25</v>
      </c>
      <c r="L15" s="5">
        <v>101.248010404377</v>
      </c>
      <c r="M15" s="5">
        <v>100.952118632544</v>
      </c>
      <c r="N15" s="5">
        <v>155.14802617256601</v>
      </c>
      <c r="O15" s="5">
        <v>137.39098101844499</v>
      </c>
      <c r="P15" s="5">
        <v>108.29976522327701</v>
      </c>
      <c r="Q15" s="5">
        <v>104.458357139084</v>
      </c>
    </row>
    <row r="16" spans="1:17" ht="15.75" x14ac:dyDescent="0.25">
      <c r="A16" s="1" t="s">
        <v>26</v>
      </c>
      <c r="B16" s="4">
        <v>4.3538759999999996</v>
      </c>
      <c r="C16" s="4">
        <v>-3.2516889999999998</v>
      </c>
      <c r="D16" s="4">
        <v>9.5078790000000009</v>
      </c>
      <c r="E16" s="4">
        <v>-8.9637239999999991</v>
      </c>
      <c r="F16" s="4">
        <v>0.31886300000000001</v>
      </c>
      <c r="G16" s="4">
        <v>0.30378100000000002</v>
      </c>
      <c r="K16" s="1" t="s">
        <v>26</v>
      </c>
      <c r="L16" s="5">
        <v>69.188918778731505</v>
      </c>
      <c r="M16" s="5">
        <v>59.748609223627398</v>
      </c>
      <c r="N16" s="5">
        <v>165.587968421547</v>
      </c>
      <c r="O16" s="5">
        <v>156.11103660989599</v>
      </c>
      <c r="P16" s="5">
        <v>76.545613420202301</v>
      </c>
      <c r="Q16" s="5">
        <v>72.925058694180507</v>
      </c>
    </row>
    <row r="17" spans="1:17" ht="15.75" x14ac:dyDescent="0.25">
      <c r="A17" s="1" t="s">
        <v>27</v>
      </c>
      <c r="B17" s="4">
        <v>7.2480589999999996</v>
      </c>
      <c r="C17" s="4">
        <v>-6.3934379999999997</v>
      </c>
      <c r="D17" s="4">
        <v>12.836255</v>
      </c>
      <c r="E17" s="4">
        <v>5.4267690000000002</v>
      </c>
      <c r="F17" s="4">
        <v>0.43526599999999999</v>
      </c>
      <c r="G17" s="4">
        <v>0.413578</v>
      </c>
      <c r="K17" s="1" t="s">
        <v>27</v>
      </c>
      <c r="L17" s="5">
        <v>115.18136149363301</v>
      </c>
      <c r="M17" s="5">
        <v>117.47711071307501</v>
      </c>
      <c r="N17" s="5">
        <v>223.55452647124901</v>
      </c>
      <c r="O17" s="5">
        <v>-94.511894167251498</v>
      </c>
      <c r="P17" s="5">
        <v>104.48908456283</v>
      </c>
      <c r="Q17" s="5">
        <v>99.282706701939105</v>
      </c>
    </row>
    <row r="18" spans="1:17" ht="15.75" x14ac:dyDescent="0.25">
      <c r="A18" s="1" t="s">
        <v>28</v>
      </c>
      <c r="B18" s="4">
        <v>6.2354320000000003</v>
      </c>
      <c r="C18" s="4">
        <v>-5.4012979999999997</v>
      </c>
      <c r="D18" s="4">
        <v>8.3529</v>
      </c>
      <c r="E18" s="4">
        <v>-6.0799789999999998</v>
      </c>
      <c r="F18" s="4">
        <v>0.43752000000000002</v>
      </c>
      <c r="G18" s="4">
        <v>0.42156500000000002</v>
      </c>
      <c r="K18" s="1" t="s">
        <v>28</v>
      </c>
      <c r="L18" s="5">
        <v>99.089362719173295</v>
      </c>
      <c r="M18" s="5">
        <v>99.246897074830997</v>
      </c>
      <c r="N18" s="5">
        <v>145.47300627493701</v>
      </c>
      <c r="O18" s="5">
        <v>105.88811349573</v>
      </c>
      <c r="P18" s="5">
        <v>105.03017529035</v>
      </c>
      <c r="Q18" s="5">
        <v>101.200049932063</v>
      </c>
    </row>
    <row r="19" spans="1:17" ht="15.75" x14ac:dyDescent="0.25">
      <c r="A19" s="1" t="s">
        <v>29</v>
      </c>
      <c r="B19" s="4">
        <v>6.2927359999999997</v>
      </c>
      <c r="C19" s="4">
        <v>-5.4422839999999999</v>
      </c>
      <c r="D19" s="4">
        <v>5.7418899999999997</v>
      </c>
      <c r="E19" s="4">
        <v>-5.7418899999999997</v>
      </c>
      <c r="F19" s="4">
        <v>0.41656599999999999</v>
      </c>
      <c r="G19" s="4">
        <v>0.41656599999999999</v>
      </c>
      <c r="K19" s="1" t="s">
        <v>29</v>
      </c>
      <c r="L19" s="5">
        <v>100</v>
      </c>
      <c r="M19" s="5">
        <v>100</v>
      </c>
      <c r="N19" s="5">
        <v>100</v>
      </c>
      <c r="O19" s="5">
        <v>100</v>
      </c>
      <c r="P19" s="5">
        <v>100</v>
      </c>
      <c r="Q19" s="5">
        <v>100</v>
      </c>
    </row>
  </sheetData>
  <mergeCells count="2">
    <mergeCell ref="A1:G2"/>
    <mergeCell ref="K1:Q2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All points</vt:lpstr>
      <vt:lpstr>Bigger value</vt:lpstr>
      <vt:lpstr>Data (1 &amp; -1)</vt:lpstr>
      <vt:lpstr>Francisco et al data</vt:lpstr>
      <vt:lpstr>Eletroneg</vt:lpstr>
      <vt:lpstr>Comparisons (HOMA and AI(vib))</vt:lpstr>
      <vt:lpstr>Comparisons (BVI)</vt:lpstr>
      <vt:lpstr>Comparisons (Iring and MCI)</vt:lpstr>
      <vt:lpstr>Comparisons (NICS)</vt:lpstr>
      <vt:lpstr>Comparisons</vt:lpstr>
      <vt:lpstr>1A</vt:lpstr>
      <vt:lpstr>-1A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Maximo</dc:creator>
  <cp:lastModifiedBy>Matheus Maximo</cp:lastModifiedBy>
  <dcterms:created xsi:type="dcterms:W3CDTF">2015-06-05T18:17:20Z</dcterms:created>
  <dcterms:modified xsi:type="dcterms:W3CDTF">2025-07-14T19:31:56Z</dcterms:modified>
</cp:coreProperties>
</file>